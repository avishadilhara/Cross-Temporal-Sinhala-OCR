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Info" sheetId="1" r:id="rId5"/>
    <sheet state="visible" name="Experiment for research paper" sheetId="2" r:id="rId6"/>
    <sheet state="visible" name="Experiment Stats" sheetId="3" r:id="rId7"/>
    <sheet state="visible" name="About Models" sheetId="4" r:id="rId8"/>
    <sheet state="visible" name="finetine vs baseline" sheetId="5" r:id="rId9"/>
    <sheet state="visible" name="Diachronic Analysis finetune vs" sheetId="6" r:id="rId10"/>
    <sheet state="visible" name="Light-On-OCR-2-1B - year wise (" sheetId="7" r:id="rId11"/>
    <sheet state="visible" name="DeepSeek 01- year wise (fine-tu" sheetId="8" r:id="rId12"/>
    <sheet state="visible" name="document AI base - year wise" sheetId="9" r:id="rId13"/>
    <sheet state="visible" name="Surya base - year wise" sheetId="10" r:id="rId14"/>
    <sheet state="visible" name="tesseract  base - year wise" sheetId="11" r:id="rId15"/>
    <sheet state="visible" name="Subasa-base- year wise" sheetId="12" r:id="rId16"/>
  </sheets>
  <definedNames/>
  <calcPr/>
</workbook>
</file>

<file path=xl/sharedStrings.xml><?xml version="1.0" encoding="utf-8"?>
<sst xmlns="http://schemas.openxmlformats.org/spreadsheetml/2006/main" count="490" uniqueCount="173">
  <si>
    <t>Experiment Number</t>
  </si>
  <si>
    <t>Base Model</t>
  </si>
  <si>
    <t>Model Size</t>
  </si>
  <si>
    <t>Fine-Tuning Technique</t>
  </si>
  <si>
    <t>Training Parameters</t>
  </si>
  <si>
    <t>LoRA Adapter Parameters</t>
  </si>
  <si>
    <t xml:space="preserve">Image Processing Parameters </t>
  </si>
  <si>
    <t>Dataset Split Impact</t>
  </si>
  <si>
    <t>Fine tune model</t>
  </si>
  <si>
    <t>Base model</t>
  </si>
  <si>
    <t>num_train_epochs</t>
  </si>
  <si>
    <t>learning_rate</t>
  </si>
  <si>
    <t>per_device_train_batch_size</t>
  </si>
  <si>
    <t>per_device_evaluation_batch_size</t>
  </si>
  <si>
    <t>gradient_accumulation_steps</t>
  </si>
  <si>
    <t>gradient_checkpointing</t>
  </si>
  <si>
    <t>lr_scheduler_type</t>
  </si>
  <si>
    <t>warmup_steps</t>
  </si>
  <si>
    <t>optim</t>
  </si>
  <si>
    <t>warmup_ratio</t>
  </si>
  <si>
    <t>weight_decay</t>
  </si>
  <si>
    <t>eval_strategy</t>
  </si>
  <si>
    <t>eval_steps</t>
  </si>
  <si>
    <t>dataloader_num_workers</t>
  </si>
  <si>
    <t>lora_r (rank)</t>
  </si>
  <si>
    <t>lora_alpha</t>
  </si>
  <si>
    <t>lora_dropout</t>
  </si>
  <si>
    <t>load_in_4bit</t>
  </si>
  <si>
    <t>LONGEST_EDGE
(LightOnOCR)</t>
  </si>
  <si>
    <t>image_size
(DeepSeek)</t>
  </si>
  <si>
    <t>base_size
(DeepSeek)</t>
  </si>
  <si>
    <t>crop_mode
(DeepSeek)</t>
  </si>
  <si>
    <t>70/10/20</t>
  </si>
  <si>
    <t>70/30</t>
  </si>
  <si>
    <t>80/20</t>
  </si>
  <si>
    <t>90/10</t>
  </si>
  <si>
    <t>Dataset size</t>
  </si>
  <si>
    <t>deepseek_ocr_unsloth_lora-T4GPU-lora4bit (Gundam)</t>
  </si>
  <si>
    <t>281MB</t>
  </si>
  <si>
    <t>LoRA (Low-Rank Adaptation), QLoRA (4-bit quantized LoRA),gradient checkpointing, mixed precision</t>
  </si>
  <si>
    <t>2e-5</t>
  </si>
  <si>
    <t>cosine</t>
  </si>
  <si>
    <t>TRUE (4bit)</t>
  </si>
  <si>
    <t>180/21</t>
  </si>
  <si>
    <t>deepseek-ocr-with-unsloth</t>
  </si>
  <si>
    <t>deepseek_ocr_unsloth_lora-P100GPU-lora16bit (Gundam)</t>
  </si>
  <si>
    <t>282MB</t>
  </si>
  <si>
    <t>LoRA (Low-Rank Adaptation),gradient checkpointing, mixed precision</t>
  </si>
  <si>
    <t>2.5e-5</t>
  </si>
  <si>
    <t>FALSE (16bit)</t>
  </si>
  <si>
    <t>360/40</t>
  </si>
  <si>
    <t>deepseek_ocr_unsloth_lora-P100GPU-lora16bit</t>
  </si>
  <si>
    <t>Qwen3-VL-8B-Instruct-unsloth-bnb-4bit-T4GPU-lora4bit</t>
  </si>
  <si>
    <t>169MB</t>
  </si>
  <si>
    <t>2e-4</t>
  </si>
  <si>
    <t>370/30</t>
  </si>
  <si>
    <t>qwen3-vl-with-unsloth</t>
  </si>
  <si>
    <t>561MB</t>
  </si>
  <si>
    <t>1.8e-5</t>
  </si>
  <si>
    <t>deepseek_ocr_unsloth_lora-P100GPU-lora4bit (Gundam)</t>
  </si>
  <si>
    <t xml:space="preserve">2e-4 </t>
  </si>
  <si>
    <t>linear</t>
  </si>
  <si>
    <t>adamw_8bit</t>
  </si>
  <si>
    <t>Replace using warmup_steps</t>
  </si>
  <si>
    <t xml:space="preserve">steps </t>
  </si>
  <si>
    <t>707/101/202</t>
  </si>
  <si>
    <t>deepseek_ocr_unsloth_lora-P100GPU-lora4bit</t>
  </si>
  <si>
    <t>deepseek-ocr-1-baseline</t>
  </si>
  <si>
    <t>deepseek_ocr_2_unsloth_lora-A100GPU-lora16bit-V1 (Gundam)</t>
  </si>
  <si>
    <t>1.6GB</t>
  </si>
  <si>
    <t>cosine_with_restarts</t>
  </si>
  <si>
    <t>Replace using warmup_ratio</t>
  </si>
  <si>
    <t>adamw_torch_fused</t>
  </si>
  <si>
    <t>epoch</t>
  </si>
  <si>
    <t>deepseek-2-unsloth-1010-a100-gpu-16bit-V1</t>
  </si>
  <si>
    <t>deepseek-ocr-2-baseline</t>
  </si>
  <si>
    <t>deepseek_ocr_2_unsloth_lora-A100GPU-lora16bit-V2 (Gundam)</t>
  </si>
  <si>
    <t>289MB</t>
  </si>
  <si>
    <t>deepseek-2-unsloth-1010-a100-gpu-16bit-V2</t>
  </si>
  <si>
    <t>deepseek-2-unsloth-1010-RTX5090-gpu-4bit - V1
(Gundam)</t>
  </si>
  <si>
    <t>298MB</t>
  </si>
  <si>
    <t>deepseek-2-unsloth-1010-RTX5090-gpu-4bit-v1</t>
  </si>
  <si>
    <t>LightOnOCR-2-1B-4bit-r16-P100</t>
  </si>
  <si>
    <t>77MB</t>
  </si>
  <si>
    <t>2.5e-4</t>
  </si>
  <si>
    <t>700 (494 × 700)</t>
  </si>
  <si>
    <t>lightonocr-2-1b-qlora-4bit-r-16-p100</t>
  </si>
  <si>
    <t>lightonocr-2-1b-baseline</t>
  </si>
  <si>
    <t>LightOnOCR-2-1B-4bit-r32-P100-v1</t>
  </si>
  <si>
    <t>140MB</t>
  </si>
  <si>
    <t>QLoRA (4-bit quantized Low-Rank Adaptation),gradient checkpointing, mixed precision</t>
  </si>
  <si>
    <t>5e-5</t>
  </si>
  <si>
    <t>lightonocr-sinhala-finetune-r32-4bit-v1</t>
  </si>
  <si>
    <t>LightOnOCR-2-1B-4bit-r32-rtx4090_v1</t>
  </si>
  <si>
    <t>lightonocr-2-1b-rtx4090</t>
  </si>
  <si>
    <t>deepseek-ocr-2-unsloth-rtx3090gpu(Gundam)</t>
  </si>
  <si>
    <t>296MB</t>
  </si>
  <si>
    <t>deepseek-2-unsloth-rtx3090</t>
  </si>
  <si>
    <t>Test sample size (pages)</t>
  </si>
  <si>
    <t>pre-train-model</t>
  </si>
  <si>
    <t>fine-tune-model</t>
  </si>
  <si>
    <t>information</t>
  </si>
  <si>
    <t>FYP Model name</t>
  </si>
  <si>
    <t>CER</t>
  </si>
  <si>
    <t>WER</t>
  </si>
  <si>
    <t>METEOR</t>
  </si>
  <si>
    <t>ANLS</t>
  </si>
  <si>
    <t>BLEU</t>
  </si>
  <si>
    <t>Finetune model evaluation</t>
  </si>
  <si>
    <t>DeepSeek-OCR 1</t>
  </si>
  <si>
    <t>deepseek_ocr_2_unsloth_lora-A100GPU-lora16bit (Gundam) -V1</t>
  </si>
  <si>
    <t>DeepSeek-OCR 2 V1</t>
  </si>
  <si>
    <t>deepseek_ocr_2_unsloth_lora-A100GPU-lora16bit - V2 (Gundam)</t>
  </si>
  <si>
    <t>DeepSeek-OCR 2 V2</t>
  </si>
  <si>
    <t>deepseek-2-unsloth-1010-RTX5090-gpu-4bit - V1(Gundam)</t>
  </si>
  <si>
    <t>DeepSeek-OCR 2 V3</t>
  </si>
  <si>
    <t>LightOnOCR-2-1B-4bit-r-16-p100</t>
  </si>
  <si>
    <t>LightOnOCR-2-1B V1</t>
  </si>
  <si>
    <t>LightOnOCR-2-1B V2</t>
  </si>
  <si>
    <t>LightOnOCR-2-1B V3</t>
  </si>
  <si>
    <t>DeepSeek-OCR 2 V4</t>
  </si>
  <si>
    <t>Models baseline evaluation</t>
  </si>
  <si>
    <t>deepseek ocr v1 (Gundam) baseline</t>
  </si>
  <si>
    <t>deepseek ocr v2 (Gundam) baseline</t>
  </si>
  <si>
    <t>LightOnOCR-2-1B baseline</t>
  </si>
  <si>
    <t>surya-ocr-baseline</t>
  </si>
  <si>
    <t>-</t>
  </si>
  <si>
    <t>tesseract-v5-baseline</t>
  </si>
  <si>
    <t>tesseract-baseline</t>
  </si>
  <si>
    <t>Document-AI-baseline (EU region)</t>
  </si>
  <si>
    <t>document-ai-baseline</t>
  </si>
  <si>
    <t>In we are used EU region Document AI processor for testing</t>
  </si>
  <si>
    <t>Subasa-ocr-baseline</t>
  </si>
  <si>
    <t>This model when do the benchmarking we remove the English text to get correct WER,CER in testing</t>
  </si>
  <si>
    <t>Model</t>
  </si>
  <si>
    <t>Model Types</t>
  </si>
  <si>
    <t>Base_size</t>
  </si>
  <si>
    <t>Image_size</t>
  </si>
  <si>
    <t>crop_mode</t>
  </si>
  <si>
    <t>DeepSeek OCR</t>
  </si>
  <si>
    <t>Tiny</t>
  </si>
  <si>
    <t>Small</t>
  </si>
  <si>
    <t>Base</t>
  </si>
  <si>
    <t>Large</t>
  </si>
  <si>
    <t>Gundam</t>
  </si>
  <si>
    <t>DeepSeek OCR 2</t>
  </si>
  <si>
    <t>Deepseek OCR 1 (fine tune)</t>
  </si>
  <si>
    <t>Deepseek OCR 1</t>
  </si>
  <si>
    <t>LightOnOCR-2-1B (fine tune)</t>
  </si>
  <si>
    <t>LightOnOCR-2-1B</t>
  </si>
  <si>
    <t>Deepseek OCR 2 (fine tune)</t>
  </si>
  <si>
    <t>Surya OCR</t>
  </si>
  <si>
    <t>Tesseract</t>
  </si>
  <si>
    <t>Document AI</t>
  </si>
  <si>
    <t>Subasa OCR</t>
  </si>
  <si>
    <t>Deepseek OCR 2</t>
  </si>
  <si>
    <t>Era</t>
  </si>
  <si>
    <t>LightOnOCR Exp 07 (Fine-tuned)</t>
  </si>
  <si>
    <t>DeepSeek Exp 01 (Fine-tuned)</t>
  </si>
  <si>
    <t>Google Document AI</t>
  </si>
  <si>
    <t>Surya-OCR</t>
  </si>
  <si>
    <t>Tesseract v5</t>
  </si>
  <si>
    <t>1980–1989 (High Degradation)</t>
  </si>
  <si>
    <t>2000–2009 (Moderate Degradation)</t>
  </si>
  <si>
    <t>2010–2019 (Modern decade)</t>
  </si>
  <si>
    <t>Year</t>
  </si>
  <si>
    <t>Samples</t>
  </si>
  <si>
    <t>CER↓</t>
  </si>
  <si>
    <t>WER↓</t>
  </si>
  <si>
    <t>BLEU↑</t>
  </si>
  <si>
    <t>ANLS↑</t>
  </si>
  <si>
    <t>METEOR↑</t>
  </si>
  <si>
    <t>Accuracy%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</si>
</sst>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PplxSansMono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 shrinkToFit="0" wrapText="1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 shrinkToFit="0" wrapText="1"/>
    </xf>
    <xf borderId="0" fillId="4" fontId="1" numFmtId="0" xfId="0" applyAlignment="1" applyFont="1">
      <alignment readingOrder="0"/>
    </xf>
    <xf borderId="0" fillId="6" fontId="1" numFmtId="0" xfId="0" applyAlignment="1" applyFont="1">
      <alignment horizontal="center" shrinkToFit="0" wrapText="1"/>
    </xf>
    <xf borderId="0" fillId="7" fontId="1" numFmtId="0" xfId="0" applyAlignment="1" applyFont="1">
      <alignment horizontal="center"/>
    </xf>
    <xf borderId="0" fillId="8" fontId="1" numFmtId="0" xfId="0" applyAlignment="1" applyFill="1" applyFont="1">
      <alignment horizontal="center" readingOrder="0" shrinkToFit="0" wrapText="1"/>
    </xf>
    <xf borderId="0" fillId="8" fontId="2" numFmtId="0" xfId="0" applyAlignment="1" applyFont="1">
      <alignment readingOrder="0" shrinkToFit="0" wrapText="1"/>
    </xf>
    <xf borderId="0" fillId="8" fontId="1" numFmtId="49" xfId="0" applyAlignment="1" applyFont="1" applyNumberFormat="1">
      <alignment horizontal="center" readingOrder="0" shrinkToFit="0" wrapText="1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horizontal="center" shrinkToFit="0" wrapText="1"/>
    </xf>
    <xf borderId="0" fillId="8" fontId="1" numFmtId="0" xfId="0" applyAlignment="1" applyFont="1">
      <alignment horizontal="center"/>
    </xf>
    <xf borderId="0" fillId="8" fontId="3" numFmtId="0" xfId="0" applyAlignment="1" applyFont="1">
      <alignment horizontal="center" readingOrder="0" shrinkToFit="0" wrapText="1"/>
    </xf>
    <xf borderId="0" fillId="8" fontId="1" numFmtId="0" xfId="0" applyFont="1"/>
    <xf borderId="0" fillId="8" fontId="1" numFmtId="49" xfId="0" applyAlignment="1" applyFont="1" applyNumberFormat="1">
      <alignment horizontal="center" readingOrder="0"/>
    </xf>
    <xf borderId="0" fillId="9" fontId="1" numFmtId="0" xfId="0" applyFill="1" applyFont="1"/>
    <xf borderId="0" fillId="9" fontId="1" numFmtId="0" xfId="0" applyAlignment="1" applyFont="1">
      <alignment shrinkToFit="0" wrapText="1"/>
    </xf>
    <xf borderId="0" fillId="9" fontId="1" numFmtId="49" xfId="0" applyFont="1" applyNumberFormat="1"/>
    <xf borderId="0" fillId="9" fontId="1" numFmtId="0" xfId="0" applyAlignment="1" applyFont="1">
      <alignment horizontal="center" shrinkToFit="0" wrapText="1"/>
    </xf>
    <xf borderId="0" fillId="9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4" fontId="1" numFmtId="0" xfId="0" applyAlignment="1" applyFont="1">
      <alignment horizontal="center" shrinkToFit="0" wrapText="1"/>
    </xf>
    <xf borderId="0" fillId="5" fontId="1" numFmtId="0" xfId="0" applyAlignment="1" applyFont="1">
      <alignment horizontal="center"/>
    </xf>
    <xf borderId="0" fillId="6" fontId="4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center" readingOrder="0"/>
    </xf>
    <xf borderId="0" fillId="2" fontId="1" numFmtId="0" xfId="0" applyAlignment="1" applyFon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0" fillId="7" fontId="6" numFmtId="0" xfId="0" applyAlignment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 readingOrder="0" shrinkToFit="0" wrapText="1"/>
    </xf>
    <xf borderId="0" fillId="10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8" fontId="1" numFmtId="10" xfId="0" applyAlignment="1" applyFont="1" applyNumberFormat="1">
      <alignment horizontal="center" readingOrder="0"/>
    </xf>
    <xf borderId="0" fillId="8" fontId="1" numFmtId="9" xfId="0" applyAlignment="1" applyFont="1" applyNumberFormat="1">
      <alignment horizontal="center" readingOrder="0"/>
    </xf>
    <xf borderId="0" fillId="9" fontId="1" numFmtId="0" xfId="0" applyAlignment="1" applyFont="1">
      <alignment horizontal="center" readingOrder="0"/>
    </xf>
    <xf borderId="0" fillId="10" fontId="1" numFmtId="10" xfId="0" applyAlignment="1" applyFont="1" applyNumberFormat="1">
      <alignment horizontal="center" readingOrder="0"/>
    </xf>
    <xf borderId="0" fillId="4" fontId="1" numFmtId="10" xfId="0" applyAlignment="1" applyFont="1" applyNumberFormat="1">
      <alignment horizontal="center" readingOrder="0"/>
    </xf>
    <xf borderId="0" fillId="7" fontId="1" numFmtId="0" xfId="0" applyAlignment="1" applyFont="1">
      <alignment horizontal="center" readingOrder="0" shrinkToFit="0" wrapText="1"/>
    </xf>
    <xf borderId="0" fillId="4" fontId="1" numFmtId="10" xfId="0" applyAlignment="1" applyFont="1" applyNumberFormat="1">
      <alignment horizontal="center" readingOrder="0" shrinkToFit="0" wrapText="1"/>
    </xf>
    <xf borderId="0" fillId="10" fontId="1" numFmtId="10" xfId="0" applyAlignment="1" applyFont="1" applyNumberFormat="1">
      <alignment horizontal="center" readingOrder="0" shrinkToFit="0" wrapText="1"/>
    </xf>
    <xf borderId="0" fillId="10" fontId="1" numFmtId="0" xfId="0" applyAlignment="1" applyFont="1">
      <alignment horizontal="center" shrinkToFit="0" wrapText="1"/>
    </xf>
    <xf borderId="0" fillId="6" fontId="1" numFmtId="0" xfId="0" applyAlignment="1" applyFont="1">
      <alignment shrinkToFit="0" wrapText="1"/>
    </xf>
    <xf borderId="0" fillId="7" fontId="1" numFmtId="0" xfId="0" applyAlignment="1" applyFont="1">
      <alignment shrinkToFit="0" wrapText="1"/>
    </xf>
    <xf borderId="0" fillId="11" fontId="1" numFmtId="0" xfId="0" applyAlignment="1" applyFill="1" applyFont="1">
      <alignment horizontal="center" readingOrder="0"/>
    </xf>
    <xf borderId="0" fillId="11" fontId="1" numFmtId="0" xfId="0" applyFont="1"/>
    <xf borderId="0" fillId="4" fontId="8" numFmtId="10" xfId="0" applyAlignment="1" applyFont="1" applyNumberFormat="1">
      <alignment horizontal="center" readingOrder="0" shrinkToFit="0" wrapText="1"/>
    </xf>
    <xf borderId="0" fillId="10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11" fontId="1" numFmtId="0" xfId="0" applyAlignment="1" applyFont="1">
      <alignment horizontal="center" readingOrder="0" shrinkToFit="0" wrapText="1"/>
    </xf>
    <xf borderId="0" fillId="0" fontId="1" numFmtId="10" xfId="0" applyAlignment="1" applyFont="1" applyNumberFormat="1">
      <alignment horizontal="center" readingOrder="0"/>
    </xf>
    <xf borderId="0" fillId="10" fontId="1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0" xfId="0" applyAlignment="1" applyFont="1" applyNumberFormat="1">
      <alignment horizontal="center" readingOrder="0" shrinkToFit="0" wrapText="1"/>
    </xf>
    <xf borderId="0" fillId="0" fontId="1" numFmtId="10" xfId="0" applyAlignment="1" applyFont="1" applyNumberFormat="1">
      <alignment horizontal="center" readingOrder="0" shrinkToFit="0" wrapText="1"/>
    </xf>
    <xf borderId="0" fillId="7" fontId="1" numFmtId="10" xfId="0" applyAlignment="1" applyFont="1" applyNumberFormat="1">
      <alignment horizontal="center" readingOrder="0"/>
    </xf>
    <xf borderId="0" fillId="7" fontId="8" numFmtId="10" xfId="0" applyAlignment="1" applyFont="1" applyNumberFormat="1">
      <alignment horizontal="center" readingOrder="0" shrinkToFit="0" wrapText="1"/>
    </xf>
    <xf borderId="1" fillId="12" fontId="9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0" fillId="0" fontId="11" numFmtId="0" xfId="0" applyAlignment="1" applyFont="1">
      <alignment readingOrder="0"/>
    </xf>
    <xf borderId="0" fillId="0" fontId="11" numFmtId="10" xfId="0" applyAlignment="1" applyFont="1" applyNumberFormat="1">
      <alignment readingOrder="0"/>
    </xf>
    <xf borderId="0" fillId="0" fontId="12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CER and WER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'finetine vs baseline'!$B$1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'finetine vs baseline'!$A$2:$A$8</c:f>
            </c:strRef>
          </c:cat>
          <c:val>
            <c:numRef>
              <c:f>'finetine vs baseline'!$B$2:$B$8</c:f>
              <c:numCache/>
            </c:numRef>
          </c:val>
        </c:ser>
        <c:ser>
          <c:idx val="1"/>
          <c:order val="1"/>
          <c:tx>
            <c:strRef>
              <c:f>'finetine vs baseline'!$C$1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'finetine vs baseline'!$A$2:$A$8</c:f>
            </c:strRef>
          </c:cat>
          <c:val>
            <c:numRef>
              <c:f>'finetine vs baseline'!$C$2:$C$8</c:f>
              <c:numCache/>
            </c:numRef>
          </c:val>
        </c:ser>
        <c:axId val="370199865"/>
        <c:axId val="102711233"/>
      </c:barChart>
      <c:catAx>
        <c:axId val="370199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11233"/>
      </c:catAx>
      <c:valAx>
        <c:axId val="10271123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CER ↓ &amp; WER ↓  (Lower is Better)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199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'Diachronic Analysis finetune vs'!$A$2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vs'!$B$1:$G$1</c:f>
            </c:strRef>
          </c:cat>
          <c:val>
            <c:numRef>
              <c:f>'Diachronic Analysis finetune vs'!$B$2:$G$2</c:f>
              <c:numCache/>
            </c:numRef>
          </c:val>
        </c:ser>
        <c:ser>
          <c:idx val="1"/>
          <c:order val="1"/>
          <c:tx>
            <c:strRef>
              <c:f>'Diachronic Analysis finetune vs'!$A$3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vs'!$B$1:$G$1</c:f>
            </c:strRef>
          </c:cat>
          <c:val>
            <c:numRef>
              <c:f>'Diachronic Analysis finetune vs'!$B$3:$G$3</c:f>
              <c:numCache/>
            </c:numRef>
          </c:val>
        </c:ser>
        <c:ser>
          <c:idx val="2"/>
          <c:order val="2"/>
          <c:tx>
            <c:strRef>
              <c:f>'Diachronic Analysis finetune vs'!$A$4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vs'!$B$1:$G$1</c:f>
            </c:strRef>
          </c:cat>
          <c:val>
            <c:numRef>
              <c:f>'Diachronic Analysis finetune vs'!$B$4:$G$4</c:f>
              <c:numCache/>
            </c:numRef>
          </c:val>
        </c:ser>
        <c:axId val="2121730146"/>
        <c:axId val="1687269029"/>
      </c:barChart>
      <c:catAx>
        <c:axId val="2121730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Models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687269029"/>
      </c:catAx>
      <c:valAx>
        <c:axId val="1687269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121730146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'Diachronic Analysis finetune vs'!$K$1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vs'!$J$2:$J$7</c:f>
            </c:strRef>
          </c:cat>
          <c:val>
            <c:numRef>
              <c:f>'Diachronic Analysis finetune vs'!$K$2:$K$7</c:f>
              <c:numCache/>
            </c:numRef>
          </c:val>
        </c:ser>
        <c:ser>
          <c:idx val="1"/>
          <c:order val="1"/>
          <c:tx>
            <c:strRef>
              <c:f>'Diachronic Analysis finetune vs'!$L$1</c:f>
            </c:strRef>
          </c:tx>
          <c:spPr>
            <a:solidFill>
              <a:schemeClr val="accent2"/>
            </a:solidFill>
            <a:ln cmpd="sng">
              <a:noFill/>
              <a:prstDash val="solid"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vs'!$J$2:$J$7</c:f>
            </c:strRef>
          </c:cat>
          <c:val>
            <c:numRef>
              <c:f>'Diachronic Analysis finetune vs'!$L$2:$L$7</c:f>
              <c:numCache/>
            </c:numRef>
          </c:val>
        </c:ser>
        <c:ser>
          <c:idx val="2"/>
          <c:order val="2"/>
          <c:tx>
            <c:strRef>
              <c:f>'Diachronic Analysis finetune vs'!$M$1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'Diachronic Analysis finetune vs'!$J$2:$J$7</c:f>
            </c:strRef>
          </c:cat>
          <c:val>
            <c:numRef>
              <c:f>'Diachronic Analysis finetune vs'!$M$2:$M$7</c:f>
              <c:numCache/>
            </c:numRef>
          </c:val>
        </c:ser>
        <c:axId val="488310092"/>
        <c:axId val="1954111006"/>
      </c:barChart>
      <c:catAx>
        <c:axId val="488310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Models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954111006"/>
      </c:catAx>
      <c:valAx>
        <c:axId val="1954111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488310092"/>
      </c:valAx>
    </c:plotArea>
    <c:legend>
      <c:legendPos val="r"/>
      <c:legendEntry>
        <c:idx val="0"/>
        <c:txPr>
          <a:bodyPr/>
          <a:lstStyle/>
          <a:p>
            <a:pPr lvl="0">
              <a:defRPr sz="1600"/>
            </a:pPr>
          </a:p>
        </c:txPr>
      </c:legendEntry>
      <c:legendEntry>
        <c:idx val="1"/>
        <c:txPr>
          <a:bodyPr/>
          <a:lstStyle/>
          <a:p>
            <a:pPr lvl="0">
              <a:defRPr sz="1600"/>
            </a:pPr>
          </a:p>
        </c:txPr>
      </c:legendEntry>
      <c:legendEntry>
        <c:idx val="2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647700</xdr:colOff>
      <xdr:row>4</xdr:row>
      <xdr:rowOff>28575</xdr:rowOff>
    </xdr:from>
    <xdr:ext cx="9486900" cy="6486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37</xdr:row>
      <xdr:rowOff>161925</xdr:rowOff>
    </xdr:from>
    <xdr:ext cx="9772650" cy="4076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1181100</xdr:colOff>
      <xdr:row>16</xdr:row>
      <xdr:rowOff>161925</xdr:rowOff>
    </xdr:from>
    <xdr:ext cx="9772650" cy="3819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drive/folders/1yHvy4JaCcEVjtIr8dFY0WtiMmwsQRF9z?usp=sharing" TargetMode="External"/><Relationship Id="rId10" Type="http://schemas.openxmlformats.org/officeDocument/2006/relationships/hyperlink" Target="https://drive.google.com/drive/folders/1MbRbOhdvTBPIxO5mklBBOKAkWCKzCZXF?usp=sharing" TargetMode="External"/><Relationship Id="rId13" Type="http://schemas.openxmlformats.org/officeDocument/2006/relationships/hyperlink" Target="https://drive.google.com/drive/folders/1vgo78ZdEe72uXBikWq72KW8pxbwvY1xI?usp=drive_link" TargetMode="External"/><Relationship Id="rId12" Type="http://schemas.openxmlformats.org/officeDocument/2006/relationships/hyperlink" Target="https://drive.google.com/drive/folders/109enzwvQZOhDSDusCkXHbM06wc2S4PD4?usp=sharing" TargetMode="External"/><Relationship Id="rId1" Type="http://schemas.openxmlformats.org/officeDocument/2006/relationships/hyperlink" Target="https://drive.google.com/drive/folders/1jYhOKyzSZW8k8l_FN2QLTMzXY8iDVQ2X?usp=sharing" TargetMode="External"/><Relationship Id="rId2" Type="http://schemas.openxmlformats.org/officeDocument/2006/relationships/hyperlink" Target="https://drive.google.com/drive/folders/1a0eS1nIKdNAIrNUqKv5dCnbqdRDvcgM3?usp=drive_link" TargetMode="External"/><Relationship Id="rId3" Type="http://schemas.openxmlformats.org/officeDocument/2006/relationships/hyperlink" Target="https://drive.google.com/drive/folders/1Dsgus6lCRC6Nq1pVnj1BGmL2xtKc6dMb?usp=drive_link" TargetMode="External"/><Relationship Id="rId4" Type="http://schemas.openxmlformats.org/officeDocument/2006/relationships/hyperlink" Target="https://drive.google.com/drive/folders/13W8-DLGAQoCthu17YeagZ6jWOjDqVjOa?usp=sharing" TargetMode="External"/><Relationship Id="rId9" Type="http://schemas.openxmlformats.org/officeDocument/2006/relationships/hyperlink" Target="https://drive.google.com/drive/folders/1yHvy4JaCcEVjtIr8dFY0WtiMmwsQRF9z?usp=sharing" TargetMode="External"/><Relationship Id="rId15" Type="http://schemas.openxmlformats.org/officeDocument/2006/relationships/hyperlink" Target="https://drive.google.com/drive/folders/1vgo78ZdEe72uXBikWq72KW8pxbwvY1xI?usp=drive_link" TargetMode="External"/><Relationship Id="rId14" Type="http://schemas.openxmlformats.org/officeDocument/2006/relationships/hyperlink" Target="https://drive.google.com/drive/folders/1qfwEGnmdNn9SmUJDLlQ1syPuYMOzGYZt?usp=drive_link" TargetMode="External"/><Relationship Id="rId17" Type="http://schemas.openxmlformats.org/officeDocument/2006/relationships/hyperlink" Target="https://drive.google.com/drive/folders/1vgo78ZdEe72uXBikWq72KW8pxbwvY1xI?usp=drive_link" TargetMode="External"/><Relationship Id="rId16" Type="http://schemas.openxmlformats.org/officeDocument/2006/relationships/hyperlink" Target="https://drive.google.com/drive/folders/1eCBOWZ73EQC98rWskdYTcuhFs2poXOmX?usp=sharing" TargetMode="External"/><Relationship Id="rId5" Type="http://schemas.openxmlformats.org/officeDocument/2006/relationships/hyperlink" Target="https://drive.google.com/drive/folders/1BtpFGta38lcOxyHzO-5df2p7NgdmNT75?usp=drive_link" TargetMode="External"/><Relationship Id="rId19" Type="http://schemas.openxmlformats.org/officeDocument/2006/relationships/hyperlink" Target="https://drive.google.com/drive/folders/1yHvy4JaCcEVjtIr8dFY0WtiMmwsQRF9z?usp=sharing" TargetMode="External"/><Relationship Id="rId6" Type="http://schemas.openxmlformats.org/officeDocument/2006/relationships/hyperlink" Target="https://drive.google.com/drive/folders/1eRRvhh13P5mXT_P0_AojhVaNYNNgy7J1?usp=drive_link" TargetMode="External"/><Relationship Id="rId18" Type="http://schemas.openxmlformats.org/officeDocument/2006/relationships/hyperlink" Target="https://drive.google.com/drive/folders/1KPZ36NTmcUN4T5LDQ5atDA1w-NGr2ftJ?usp=sharing" TargetMode="External"/><Relationship Id="rId7" Type="http://schemas.openxmlformats.org/officeDocument/2006/relationships/hyperlink" Target="https://drive.google.com/drive/folders/1yHvy4JaCcEVjtIr8dFY0WtiMmwsQRF9z?usp=sharing" TargetMode="External"/><Relationship Id="rId8" Type="http://schemas.openxmlformats.org/officeDocument/2006/relationships/hyperlink" Target="https://drive.google.com/drive/folders/1F71Qa9cV6EDs-ZYgqe2MrGqR9T813Wdb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Hvy4JaCcEVjtIr8dFY0WtiMmwsQRF9z?usp=sharing" TargetMode="External"/><Relationship Id="rId22" Type="http://schemas.openxmlformats.org/officeDocument/2006/relationships/hyperlink" Target="https://drive.google.com/drive/folders/1vgo78ZdEe72uXBikWq72KW8pxbwvY1xI?usp=drive_link" TargetMode="External"/><Relationship Id="rId21" Type="http://schemas.openxmlformats.org/officeDocument/2006/relationships/hyperlink" Target="https://drive.google.com/drive/folders/1eCBOWZ73EQC98rWskdYTcuhFs2poXOmX?usp=sharing" TargetMode="External"/><Relationship Id="rId24" Type="http://schemas.openxmlformats.org/officeDocument/2006/relationships/hyperlink" Target="https://drive.google.com/drive/folders/1cWKlevwt6Izi3cmdc-Wc1kY_fQ3h4YwH?usp=sharing" TargetMode="External"/><Relationship Id="rId23" Type="http://schemas.openxmlformats.org/officeDocument/2006/relationships/hyperlink" Target="https://drive.google.com/drive/folders/15HtqFnr0O7GT1I2aKG5M36FvNWSsR2eg?usp=drive_link" TargetMode="External"/><Relationship Id="rId1" Type="http://schemas.openxmlformats.org/officeDocument/2006/relationships/hyperlink" Target="https://drive.google.com/drive/folders/13W8-DLGAQoCthu17YeagZ6jWOjDqVjOa?usp=sharing" TargetMode="External"/><Relationship Id="rId2" Type="http://schemas.openxmlformats.org/officeDocument/2006/relationships/hyperlink" Target="https://drive.google.com/drive/folders/1BtpFGta38lcOxyHzO-5df2p7NgdmNT75?usp=drive_link" TargetMode="External"/><Relationship Id="rId3" Type="http://schemas.openxmlformats.org/officeDocument/2006/relationships/hyperlink" Target="https://drive.google.com/drive/folders/1eRRvhh13P5mXT_P0_AojhVaNYNNgy7J1?usp=drive_link" TargetMode="External"/><Relationship Id="rId4" Type="http://schemas.openxmlformats.org/officeDocument/2006/relationships/hyperlink" Target="https://drive.google.com/drive/folders/1yHvy4JaCcEVjtIr8dFY0WtiMmwsQRF9z?usp=sharing" TargetMode="External"/><Relationship Id="rId9" Type="http://schemas.openxmlformats.org/officeDocument/2006/relationships/hyperlink" Target="https://drive.google.com/drive/folders/109enzwvQZOhDSDusCkXHbM06wc2S4PD4?usp=sharing" TargetMode="External"/><Relationship Id="rId26" Type="http://schemas.openxmlformats.org/officeDocument/2006/relationships/hyperlink" Target="https://drive.google.com/drive/folders/1xHDD40mssV7w6xpHNhksf0DajtBh7Jan?usp=sharing" TargetMode="External"/><Relationship Id="rId25" Type="http://schemas.openxmlformats.org/officeDocument/2006/relationships/hyperlink" Target="https://drive.google.com/drive/folders/1GO53zB_JIJgjAPKExwaf9fLrOgKbIBo0?usp=drive_link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drive.google.com/drive/folders/1F71Qa9cV6EDs-ZYgqe2MrGqR9T813Wdb?usp=sharing" TargetMode="External"/><Relationship Id="rId6" Type="http://schemas.openxmlformats.org/officeDocument/2006/relationships/hyperlink" Target="https://drive.google.com/drive/folders/1yHvy4JaCcEVjtIr8dFY0WtiMmwsQRF9z?usp=sharing" TargetMode="External"/><Relationship Id="rId7" Type="http://schemas.openxmlformats.org/officeDocument/2006/relationships/hyperlink" Target="https://drive.google.com/drive/folders/1MbRbOhdvTBPIxO5mklBBOKAkWCKzCZXF?usp=sharing" TargetMode="External"/><Relationship Id="rId8" Type="http://schemas.openxmlformats.org/officeDocument/2006/relationships/hyperlink" Target="https://drive.google.com/drive/folders/1yHvy4JaCcEVjtIr8dFY0WtiMmwsQRF9z?usp=sharing" TargetMode="External"/><Relationship Id="rId11" Type="http://schemas.openxmlformats.org/officeDocument/2006/relationships/hyperlink" Target="https://drive.google.com/drive/folders/1qfwEGnmdNn9SmUJDLlQ1syPuYMOzGYZt?usp=drive_link" TargetMode="External"/><Relationship Id="rId10" Type="http://schemas.openxmlformats.org/officeDocument/2006/relationships/hyperlink" Target="https://drive.google.com/drive/folders/1vgo78ZdEe72uXBikWq72KW8pxbwvY1xI?usp=drive_link" TargetMode="External"/><Relationship Id="rId13" Type="http://schemas.openxmlformats.org/officeDocument/2006/relationships/hyperlink" Target="https://drive.google.com/drive/folders/1eCBOWZ73EQC98rWskdYTcuhFs2poXOmX?usp=sharing" TargetMode="External"/><Relationship Id="rId12" Type="http://schemas.openxmlformats.org/officeDocument/2006/relationships/hyperlink" Target="https://drive.google.com/drive/folders/1vgo78ZdEe72uXBikWq72KW8pxbwvY1xI?usp=drive_link" TargetMode="External"/><Relationship Id="rId15" Type="http://schemas.openxmlformats.org/officeDocument/2006/relationships/hyperlink" Target="https://drive.google.com/drive/folders/1KPZ36NTmcUN4T5LDQ5atDA1w-NGr2ftJ?usp=sharing" TargetMode="External"/><Relationship Id="rId14" Type="http://schemas.openxmlformats.org/officeDocument/2006/relationships/hyperlink" Target="https://drive.google.com/drive/folders/1vgo78ZdEe72uXBikWq72KW8pxbwvY1xI?usp=drive_link" TargetMode="External"/><Relationship Id="rId17" Type="http://schemas.openxmlformats.org/officeDocument/2006/relationships/hyperlink" Target="https://drive.google.com/drive/folders/13W8-DLGAQoCthu17YeagZ6jWOjDqVjOa?usp=sharing" TargetMode="External"/><Relationship Id="rId16" Type="http://schemas.openxmlformats.org/officeDocument/2006/relationships/hyperlink" Target="https://drive.google.com/drive/folders/1yHvy4JaCcEVjtIr8dFY0WtiMmwsQRF9z?usp=sharing" TargetMode="External"/><Relationship Id="rId19" Type="http://schemas.openxmlformats.org/officeDocument/2006/relationships/hyperlink" Target="https://drive.google.com/drive/folders/1F71Qa9cV6EDs-ZYgqe2MrGqR9T813Wdb?usp=sharing" TargetMode="External"/><Relationship Id="rId18" Type="http://schemas.openxmlformats.org/officeDocument/2006/relationships/hyperlink" Target="https://drive.google.com/drive/folders/1BtpFGta38lcOxyHzO-5df2p7NgdmNT75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0"/>
    <col customWidth="1" min="2" max="2" width="43.25"/>
    <col customWidth="1" min="4" max="4" width="44.5"/>
    <col customWidth="1" min="5" max="5" width="17.0"/>
    <col customWidth="1" min="6" max="6" width="17.5"/>
    <col customWidth="1" min="7" max="8" width="26.5"/>
    <col customWidth="1" min="9" max="13" width="29.88"/>
    <col customWidth="1" min="14" max="14" width="13.63"/>
    <col customWidth="1" min="15" max="17" width="15.75"/>
    <col customWidth="1" min="18" max="18" width="27.38"/>
    <col customWidth="1" min="22" max="22" width="20.13"/>
    <col customWidth="1" min="23" max="23" width="21.25"/>
    <col customWidth="1" min="27" max="28" width="16.13"/>
    <col customWidth="1" min="29" max="29" width="23.0"/>
    <col customWidth="1" min="32" max="32" width="29.75"/>
    <col customWidth="1" min="33" max="33" width="26.88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S1" s="3" t="s">
        <v>5</v>
      </c>
      <c r="W1" s="4" t="s">
        <v>6</v>
      </c>
      <c r="AA1" s="5" t="s">
        <v>7</v>
      </c>
      <c r="AF1" s="6" t="s">
        <v>8</v>
      </c>
      <c r="AG1" s="7" t="s">
        <v>9</v>
      </c>
    </row>
    <row r="2" ht="38.25" customHeight="1">
      <c r="A2" s="1"/>
      <c r="B2" s="1"/>
      <c r="C2" s="1"/>
      <c r="D2" s="8"/>
      <c r="E2" s="2" t="s">
        <v>10</v>
      </c>
      <c r="F2" s="9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10" t="s">
        <v>20</v>
      </c>
      <c r="P2" s="10" t="s">
        <v>21</v>
      </c>
      <c r="Q2" s="10" t="s">
        <v>22</v>
      </c>
      <c r="R2" s="2" t="s">
        <v>23</v>
      </c>
      <c r="S2" s="11" t="s">
        <v>24</v>
      </c>
      <c r="T2" s="11" t="s">
        <v>25</v>
      </c>
      <c r="U2" s="11" t="s">
        <v>26</v>
      </c>
      <c r="V2" s="12" t="s">
        <v>27</v>
      </c>
      <c r="W2" s="13" t="s">
        <v>28</v>
      </c>
      <c r="X2" s="14" t="s">
        <v>29</v>
      </c>
      <c r="Y2" s="14" t="s">
        <v>30</v>
      </c>
      <c r="Z2" s="14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15"/>
      <c r="AG2" s="16"/>
    </row>
    <row r="3">
      <c r="A3" s="17">
        <v>1.0</v>
      </c>
      <c r="B3" s="17" t="s">
        <v>37</v>
      </c>
      <c r="C3" s="17" t="s">
        <v>38</v>
      </c>
      <c r="D3" s="18" t="s">
        <v>39</v>
      </c>
      <c r="E3" s="17">
        <v>25.0</v>
      </c>
      <c r="F3" s="19" t="s">
        <v>40</v>
      </c>
      <c r="G3" s="17">
        <v>1.0</v>
      </c>
      <c r="H3" s="17"/>
      <c r="I3" s="17">
        <v>32.0</v>
      </c>
      <c r="J3" s="17" t="b">
        <v>1</v>
      </c>
      <c r="K3" s="17" t="s">
        <v>41</v>
      </c>
      <c r="L3" s="17"/>
      <c r="M3" s="17"/>
      <c r="N3" s="17">
        <v>0.15</v>
      </c>
      <c r="O3" s="17">
        <v>0.02</v>
      </c>
      <c r="P3" s="17"/>
      <c r="Q3" s="17"/>
      <c r="R3" s="17"/>
      <c r="S3" s="17">
        <v>16.0</v>
      </c>
      <c r="T3" s="20">
        <v>16.0</v>
      </c>
      <c r="U3" s="20">
        <v>0.0</v>
      </c>
      <c r="V3" s="20" t="s">
        <v>42</v>
      </c>
      <c r="W3" s="21"/>
      <c r="X3" s="20">
        <v>640.0</v>
      </c>
      <c r="Y3" s="20">
        <v>1024.0</v>
      </c>
      <c r="Z3" s="20" t="b">
        <v>1</v>
      </c>
      <c r="AA3" s="22"/>
      <c r="AB3" s="22"/>
      <c r="AC3" s="22"/>
      <c r="AD3" s="20" t="s">
        <v>43</v>
      </c>
      <c r="AE3" s="20">
        <v>201.0</v>
      </c>
      <c r="AF3" s="23" t="s">
        <v>44</v>
      </c>
      <c r="AG3" s="22"/>
    </row>
    <row r="4">
      <c r="A4" s="17">
        <v>2.0</v>
      </c>
      <c r="B4" s="17" t="s">
        <v>45</v>
      </c>
      <c r="C4" s="17" t="s">
        <v>46</v>
      </c>
      <c r="D4" s="18" t="s">
        <v>47</v>
      </c>
      <c r="E4" s="17">
        <v>25.0</v>
      </c>
      <c r="F4" s="19" t="s">
        <v>48</v>
      </c>
      <c r="G4" s="17">
        <v>1.0</v>
      </c>
      <c r="H4" s="17"/>
      <c r="I4" s="17">
        <v>8.0</v>
      </c>
      <c r="J4" s="17" t="b">
        <v>1</v>
      </c>
      <c r="K4" s="17" t="s">
        <v>41</v>
      </c>
      <c r="L4" s="17"/>
      <c r="M4" s="17"/>
      <c r="N4" s="17">
        <v>0.15</v>
      </c>
      <c r="O4" s="17">
        <v>0.015</v>
      </c>
      <c r="P4" s="17"/>
      <c r="Q4" s="17"/>
      <c r="R4" s="17"/>
      <c r="S4" s="17">
        <v>16.0</v>
      </c>
      <c r="T4" s="17">
        <v>16.0</v>
      </c>
      <c r="U4" s="20">
        <v>0.0</v>
      </c>
      <c r="V4" s="20" t="s">
        <v>49</v>
      </c>
      <c r="W4" s="21"/>
      <c r="X4" s="20">
        <v>640.0</v>
      </c>
      <c r="Y4" s="20">
        <v>1024.0</v>
      </c>
      <c r="Z4" s="20" t="b">
        <v>1</v>
      </c>
      <c r="AA4" s="22"/>
      <c r="AB4" s="22"/>
      <c r="AC4" s="22"/>
      <c r="AD4" s="20" t="s">
        <v>50</v>
      </c>
      <c r="AE4" s="20">
        <v>400.0</v>
      </c>
      <c r="AF4" s="23" t="s">
        <v>51</v>
      </c>
      <c r="AG4" s="24"/>
    </row>
    <row r="5">
      <c r="A5" s="17">
        <v>3.0</v>
      </c>
      <c r="B5" s="17" t="s">
        <v>52</v>
      </c>
      <c r="C5" s="17" t="s">
        <v>53</v>
      </c>
      <c r="D5" s="18" t="s">
        <v>39</v>
      </c>
      <c r="E5" s="17">
        <v>3.0</v>
      </c>
      <c r="F5" s="19" t="s">
        <v>54</v>
      </c>
      <c r="G5" s="17">
        <v>2.0</v>
      </c>
      <c r="H5" s="17"/>
      <c r="I5" s="17">
        <v>4.0</v>
      </c>
      <c r="J5" s="17"/>
      <c r="K5" s="17" t="s">
        <v>41</v>
      </c>
      <c r="L5" s="17">
        <v>5.0</v>
      </c>
      <c r="M5" s="17"/>
      <c r="N5" s="21"/>
      <c r="O5" s="17">
        <v>0.001</v>
      </c>
      <c r="P5" s="17"/>
      <c r="Q5" s="17"/>
      <c r="R5" s="17"/>
      <c r="S5" s="17">
        <v>16.0</v>
      </c>
      <c r="T5" s="17">
        <v>16.0</v>
      </c>
      <c r="U5" s="20">
        <v>0.0</v>
      </c>
      <c r="V5" s="20" t="s">
        <v>42</v>
      </c>
      <c r="W5" s="21"/>
      <c r="X5" s="24"/>
      <c r="Y5" s="24"/>
      <c r="Z5" s="24"/>
      <c r="AA5" s="22"/>
      <c r="AB5" s="22"/>
      <c r="AC5" s="22"/>
      <c r="AD5" s="20" t="s">
        <v>55</v>
      </c>
      <c r="AE5" s="20">
        <v>400.0</v>
      </c>
      <c r="AF5" s="23" t="s">
        <v>56</v>
      </c>
      <c r="AG5" s="24"/>
    </row>
    <row r="6">
      <c r="A6" s="20">
        <v>4.0</v>
      </c>
      <c r="B6" s="17" t="s">
        <v>45</v>
      </c>
      <c r="C6" s="20" t="s">
        <v>57</v>
      </c>
      <c r="D6" s="18" t="s">
        <v>47</v>
      </c>
      <c r="E6" s="20">
        <v>40.0</v>
      </c>
      <c r="F6" s="25" t="s">
        <v>58</v>
      </c>
      <c r="G6" s="20">
        <v>1.0</v>
      </c>
      <c r="H6" s="20"/>
      <c r="I6" s="20">
        <v>14.0</v>
      </c>
      <c r="J6" s="17" t="b">
        <v>1</v>
      </c>
      <c r="K6" s="17" t="s">
        <v>41</v>
      </c>
      <c r="L6" s="22"/>
      <c r="M6" s="22"/>
      <c r="N6" s="17">
        <v>0.1</v>
      </c>
      <c r="O6" s="20">
        <v>0.04</v>
      </c>
      <c r="P6" s="20"/>
      <c r="Q6" s="20"/>
      <c r="R6" s="17"/>
      <c r="S6" s="20">
        <v>32.0</v>
      </c>
      <c r="T6" s="20">
        <v>32.0</v>
      </c>
      <c r="U6" s="20">
        <v>0.12</v>
      </c>
      <c r="V6" s="20" t="s">
        <v>49</v>
      </c>
      <c r="W6" s="21"/>
      <c r="X6" s="20">
        <v>640.0</v>
      </c>
      <c r="Y6" s="20">
        <v>1024.0</v>
      </c>
      <c r="Z6" s="20" t="b">
        <v>1</v>
      </c>
      <c r="AA6" s="22"/>
      <c r="AB6" s="22"/>
      <c r="AC6" s="22"/>
      <c r="AD6" s="20" t="s">
        <v>50</v>
      </c>
      <c r="AE6" s="20">
        <v>400.0</v>
      </c>
      <c r="AF6" s="21"/>
      <c r="AG6" s="22"/>
    </row>
    <row r="7">
      <c r="A7" s="26"/>
      <c r="B7" s="26"/>
      <c r="C7" s="26"/>
      <c r="D7" s="27"/>
      <c r="E7" s="26"/>
      <c r="F7" s="28"/>
      <c r="G7" s="26"/>
      <c r="H7" s="26"/>
      <c r="I7" s="26"/>
      <c r="J7" s="26"/>
      <c r="K7" s="26"/>
      <c r="L7" s="26"/>
      <c r="M7" s="26"/>
      <c r="N7" s="29"/>
      <c r="O7" s="30"/>
      <c r="P7" s="30"/>
      <c r="Q7" s="30"/>
      <c r="R7" s="29"/>
      <c r="S7" s="26"/>
      <c r="T7" s="26"/>
      <c r="U7" s="26"/>
      <c r="V7" s="30"/>
      <c r="W7" s="30"/>
      <c r="X7" s="26"/>
      <c r="Y7" s="26"/>
      <c r="Z7" s="26"/>
      <c r="AA7" s="30"/>
      <c r="AB7" s="30"/>
      <c r="AC7" s="30"/>
      <c r="AD7" s="30"/>
      <c r="AE7" s="30"/>
      <c r="AF7" s="30"/>
      <c r="AG7" s="30"/>
    </row>
    <row r="8" ht="58.5" customHeight="1">
      <c r="A8" s="31">
        <v>1.0</v>
      </c>
      <c r="B8" s="1" t="s">
        <v>59</v>
      </c>
      <c r="C8" s="31" t="s">
        <v>38</v>
      </c>
      <c r="D8" s="32" t="s">
        <v>39</v>
      </c>
      <c r="E8" s="10">
        <v>3.0</v>
      </c>
      <c r="F8" s="9" t="s">
        <v>60</v>
      </c>
      <c r="G8" s="10">
        <v>2.0</v>
      </c>
      <c r="H8" s="10">
        <v>2.0</v>
      </c>
      <c r="I8" s="10">
        <v>4.0</v>
      </c>
      <c r="J8" s="2" t="b">
        <v>1</v>
      </c>
      <c r="K8" s="2" t="s">
        <v>61</v>
      </c>
      <c r="L8" s="10">
        <v>10.0</v>
      </c>
      <c r="M8" s="10" t="s">
        <v>62</v>
      </c>
      <c r="N8" s="2" t="s">
        <v>63</v>
      </c>
      <c r="O8" s="10">
        <v>0.001</v>
      </c>
      <c r="P8" s="10" t="s">
        <v>64</v>
      </c>
      <c r="Q8" s="10">
        <v>25.0</v>
      </c>
      <c r="R8" s="2">
        <v>2.0</v>
      </c>
      <c r="S8" s="3">
        <v>16.0</v>
      </c>
      <c r="T8" s="12">
        <v>16.0</v>
      </c>
      <c r="U8" s="12">
        <v>0.0</v>
      </c>
      <c r="V8" s="12" t="s">
        <v>42</v>
      </c>
      <c r="W8" s="33"/>
      <c r="X8" s="4">
        <v>640.0</v>
      </c>
      <c r="Y8" s="4">
        <v>1024.0</v>
      </c>
      <c r="Z8" s="4" t="b">
        <v>1</v>
      </c>
      <c r="AA8" s="5" t="s">
        <v>65</v>
      </c>
      <c r="AB8" s="34"/>
      <c r="AC8" s="34"/>
      <c r="AD8" s="34"/>
      <c r="AE8" s="5">
        <v>1010.0</v>
      </c>
      <c r="AF8" s="35" t="s">
        <v>66</v>
      </c>
      <c r="AG8" s="36" t="s">
        <v>67</v>
      </c>
    </row>
    <row r="9">
      <c r="A9" s="1">
        <v>2.0</v>
      </c>
      <c r="B9" s="1" t="s">
        <v>68</v>
      </c>
      <c r="C9" s="1" t="s">
        <v>69</v>
      </c>
      <c r="D9" s="32" t="s">
        <v>47</v>
      </c>
      <c r="E9" s="2">
        <v>50.0</v>
      </c>
      <c r="F9" s="9" t="s">
        <v>60</v>
      </c>
      <c r="G9" s="2">
        <v>6.0</v>
      </c>
      <c r="H9" s="2">
        <v>8.0</v>
      </c>
      <c r="I9" s="2">
        <v>3.0</v>
      </c>
      <c r="J9" s="2" t="b">
        <v>1</v>
      </c>
      <c r="K9" s="2" t="s">
        <v>70</v>
      </c>
      <c r="L9" s="2" t="s">
        <v>71</v>
      </c>
      <c r="M9" s="2" t="s">
        <v>72</v>
      </c>
      <c r="N9" s="2">
        <v>0.03</v>
      </c>
      <c r="O9" s="2">
        <v>0.1</v>
      </c>
      <c r="P9" s="2" t="s">
        <v>73</v>
      </c>
      <c r="Q9" s="37"/>
      <c r="R9" s="2">
        <v>8.0</v>
      </c>
      <c r="S9" s="3">
        <v>32.0</v>
      </c>
      <c r="T9" s="3">
        <v>64.0</v>
      </c>
      <c r="U9" s="3">
        <v>0.1</v>
      </c>
      <c r="V9" s="12" t="s">
        <v>49</v>
      </c>
      <c r="W9" s="33"/>
      <c r="X9" s="4">
        <v>768.0</v>
      </c>
      <c r="Y9" s="4">
        <v>1024.0</v>
      </c>
      <c r="Z9" s="4" t="b">
        <v>1</v>
      </c>
      <c r="AA9" s="5" t="s">
        <v>65</v>
      </c>
      <c r="AB9" s="38"/>
      <c r="AC9" s="38"/>
      <c r="AD9" s="38"/>
      <c r="AE9" s="5">
        <v>1010.0</v>
      </c>
      <c r="AF9" s="35" t="s">
        <v>74</v>
      </c>
      <c r="AG9" s="39" t="s">
        <v>75</v>
      </c>
    </row>
    <row r="10">
      <c r="A10" s="1">
        <v>3.0</v>
      </c>
      <c r="B10" s="1" t="s">
        <v>76</v>
      </c>
      <c r="C10" s="1" t="s">
        <v>77</v>
      </c>
      <c r="D10" s="32" t="s">
        <v>47</v>
      </c>
      <c r="E10" s="2">
        <v>50.0</v>
      </c>
      <c r="F10" s="9" t="s">
        <v>60</v>
      </c>
      <c r="G10" s="2">
        <v>8.0</v>
      </c>
      <c r="H10" s="2">
        <v>8.0</v>
      </c>
      <c r="I10" s="2">
        <v>2.0</v>
      </c>
      <c r="J10" s="2" t="b">
        <v>1</v>
      </c>
      <c r="K10" s="2" t="s">
        <v>61</v>
      </c>
      <c r="L10" s="2">
        <v>10.0</v>
      </c>
      <c r="M10" s="2" t="s">
        <v>62</v>
      </c>
      <c r="N10" s="2" t="s">
        <v>63</v>
      </c>
      <c r="O10" s="2">
        <v>0.001</v>
      </c>
      <c r="P10" s="2" t="s">
        <v>73</v>
      </c>
      <c r="Q10" s="37"/>
      <c r="R10" s="2">
        <v>2.0</v>
      </c>
      <c r="S10" s="3">
        <v>16.0</v>
      </c>
      <c r="T10" s="3">
        <v>16.0</v>
      </c>
      <c r="U10" s="3">
        <v>0.0</v>
      </c>
      <c r="V10" s="3" t="s">
        <v>49</v>
      </c>
      <c r="W10" s="33"/>
      <c r="X10" s="13">
        <v>768.0</v>
      </c>
      <c r="Y10" s="13">
        <v>1024.0</v>
      </c>
      <c r="Z10" s="13" t="b">
        <v>1</v>
      </c>
      <c r="AA10" s="40" t="s">
        <v>65</v>
      </c>
      <c r="AB10" s="38"/>
      <c r="AC10" s="38"/>
      <c r="AD10" s="38"/>
      <c r="AE10" s="40">
        <v>1010.0</v>
      </c>
      <c r="AF10" s="35" t="s">
        <v>78</v>
      </c>
      <c r="AG10" s="39" t="s">
        <v>75</v>
      </c>
    </row>
    <row r="11" ht="45.0" customHeight="1">
      <c r="A11" s="1">
        <v>4.0</v>
      </c>
      <c r="B11" s="1" t="s">
        <v>79</v>
      </c>
      <c r="C11" s="1" t="s">
        <v>80</v>
      </c>
      <c r="D11" s="32" t="s">
        <v>39</v>
      </c>
      <c r="E11" s="2">
        <v>50.0</v>
      </c>
      <c r="F11" s="9" t="s">
        <v>60</v>
      </c>
      <c r="G11" s="2">
        <v>2.0</v>
      </c>
      <c r="H11" s="2">
        <v>2.0</v>
      </c>
      <c r="I11" s="2">
        <v>4.0</v>
      </c>
      <c r="J11" s="2" t="b">
        <v>1</v>
      </c>
      <c r="K11" s="2" t="s">
        <v>61</v>
      </c>
      <c r="L11" s="2">
        <v>10.0</v>
      </c>
      <c r="M11" s="2" t="s">
        <v>62</v>
      </c>
      <c r="N11" s="2" t="s">
        <v>63</v>
      </c>
      <c r="O11" s="2">
        <v>0.001</v>
      </c>
      <c r="P11" s="2" t="s">
        <v>73</v>
      </c>
      <c r="Q11" s="37"/>
      <c r="R11" s="2">
        <v>2.0</v>
      </c>
      <c r="S11" s="3">
        <v>16.0</v>
      </c>
      <c r="T11" s="3">
        <v>16.0</v>
      </c>
      <c r="U11" s="3">
        <v>0.0</v>
      </c>
      <c r="V11" s="12" t="s">
        <v>42</v>
      </c>
      <c r="W11" s="13"/>
      <c r="X11" s="13">
        <v>768.0</v>
      </c>
      <c r="Y11" s="13">
        <v>1024.0</v>
      </c>
      <c r="Z11" s="13" t="b">
        <v>1</v>
      </c>
      <c r="AA11" s="40" t="s">
        <v>65</v>
      </c>
      <c r="AB11" s="38"/>
      <c r="AC11" s="38"/>
      <c r="AD11" s="38"/>
      <c r="AE11" s="40">
        <v>1010.0</v>
      </c>
      <c r="AF11" s="35" t="s">
        <v>81</v>
      </c>
      <c r="AG11" s="39" t="s">
        <v>75</v>
      </c>
    </row>
    <row r="12" ht="45.0" customHeight="1">
      <c r="A12" s="1">
        <v>5.0</v>
      </c>
      <c r="B12" s="1" t="s">
        <v>82</v>
      </c>
      <c r="C12" s="1" t="s">
        <v>83</v>
      </c>
      <c r="D12" s="32" t="s">
        <v>39</v>
      </c>
      <c r="E12" s="2">
        <v>20.0</v>
      </c>
      <c r="F12" s="9" t="s">
        <v>84</v>
      </c>
      <c r="G12" s="2">
        <v>2.0</v>
      </c>
      <c r="H12" s="2">
        <v>2.0</v>
      </c>
      <c r="I12" s="2">
        <v>8.0</v>
      </c>
      <c r="J12" s="2" t="b">
        <v>1</v>
      </c>
      <c r="K12" s="2" t="s">
        <v>41</v>
      </c>
      <c r="L12" s="2">
        <v>20.0</v>
      </c>
      <c r="M12" s="2" t="s">
        <v>72</v>
      </c>
      <c r="N12" s="2" t="s">
        <v>63</v>
      </c>
      <c r="O12" s="2">
        <v>0.01</v>
      </c>
      <c r="P12" s="2" t="s">
        <v>73</v>
      </c>
      <c r="Q12" s="37"/>
      <c r="R12" s="2">
        <v>2.0</v>
      </c>
      <c r="S12" s="3">
        <v>16.0</v>
      </c>
      <c r="T12" s="3">
        <v>16.0</v>
      </c>
      <c r="U12" s="3">
        <v>0.05</v>
      </c>
      <c r="V12" s="12" t="s">
        <v>42</v>
      </c>
      <c r="W12" s="13" t="s">
        <v>85</v>
      </c>
      <c r="X12" s="33"/>
      <c r="Y12" s="33"/>
      <c r="Z12" s="33"/>
      <c r="AA12" s="40" t="s">
        <v>65</v>
      </c>
      <c r="AB12" s="38"/>
      <c r="AC12" s="38"/>
      <c r="AD12" s="38"/>
      <c r="AE12" s="40">
        <v>1010.0</v>
      </c>
      <c r="AF12" s="35" t="s">
        <v>86</v>
      </c>
      <c r="AG12" s="39" t="s">
        <v>87</v>
      </c>
    </row>
    <row r="13" ht="45.75" customHeight="1">
      <c r="A13" s="1">
        <v>6.0</v>
      </c>
      <c r="B13" s="1" t="s">
        <v>88</v>
      </c>
      <c r="C13" s="1" t="s">
        <v>89</v>
      </c>
      <c r="D13" s="32" t="s">
        <v>90</v>
      </c>
      <c r="E13" s="2">
        <v>30.0</v>
      </c>
      <c r="F13" s="9" t="s">
        <v>91</v>
      </c>
      <c r="G13" s="2">
        <v>1.0</v>
      </c>
      <c r="H13" s="2">
        <v>1.0</v>
      </c>
      <c r="I13" s="2">
        <v>16.0</v>
      </c>
      <c r="J13" s="2" t="b">
        <v>1</v>
      </c>
      <c r="K13" s="2" t="s">
        <v>41</v>
      </c>
      <c r="L13" s="2">
        <v>50.0</v>
      </c>
      <c r="M13" s="2" t="s">
        <v>62</v>
      </c>
      <c r="N13" s="2" t="s">
        <v>63</v>
      </c>
      <c r="O13" s="2">
        <v>0.05</v>
      </c>
      <c r="P13" s="2" t="s">
        <v>73</v>
      </c>
      <c r="Q13" s="37"/>
      <c r="R13" s="2">
        <v>2.0</v>
      </c>
      <c r="S13" s="3">
        <v>32.0</v>
      </c>
      <c r="T13" s="3">
        <v>64.0</v>
      </c>
      <c r="U13" s="3">
        <v>0.1</v>
      </c>
      <c r="V13" s="12" t="s">
        <v>42</v>
      </c>
      <c r="W13" s="13">
        <v>1024.0</v>
      </c>
      <c r="X13" s="33"/>
      <c r="Y13" s="33"/>
      <c r="Z13" s="33"/>
      <c r="AA13" s="40" t="s">
        <v>65</v>
      </c>
      <c r="AB13" s="38"/>
      <c r="AC13" s="38"/>
      <c r="AD13" s="38"/>
      <c r="AE13" s="40">
        <v>1010.0</v>
      </c>
      <c r="AF13" s="35" t="s">
        <v>92</v>
      </c>
      <c r="AG13" s="39" t="s">
        <v>87</v>
      </c>
    </row>
    <row r="14" ht="38.25" customHeight="1">
      <c r="A14" s="1">
        <v>7.0</v>
      </c>
      <c r="B14" s="1" t="s">
        <v>93</v>
      </c>
      <c r="C14" s="1" t="s">
        <v>89</v>
      </c>
      <c r="D14" s="32" t="s">
        <v>90</v>
      </c>
      <c r="E14" s="2">
        <v>20.0</v>
      </c>
      <c r="F14" s="9" t="s">
        <v>60</v>
      </c>
      <c r="G14" s="2">
        <v>4.0</v>
      </c>
      <c r="H14" s="2">
        <v>4.0</v>
      </c>
      <c r="I14" s="2">
        <v>1.0</v>
      </c>
      <c r="J14" s="2" t="b">
        <v>1</v>
      </c>
      <c r="K14" s="2" t="s">
        <v>61</v>
      </c>
      <c r="L14" s="2">
        <v>10.0</v>
      </c>
      <c r="M14" s="2" t="s">
        <v>72</v>
      </c>
      <c r="N14" s="2" t="s">
        <v>63</v>
      </c>
      <c r="O14" s="10">
        <v>0.001</v>
      </c>
      <c r="P14" s="2" t="s">
        <v>73</v>
      </c>
      <c r="Q14" s="37"/>
      <c r="R14" s="2">
        <v>2.0</v>
      </c>
      <c r="S14" s="3">
        <v>32.0</v>
      </c>
      <c r="T14" s="3">
        <v>64.0</v>
      </c>
      <c r="U14" s="3">
        <v>0.1</v>
      </c>
      <c r="V14" s="12" t="s">
        <v>42</v>
      </c>
      <c r="W14" s="13">
        <v>1540.0</v>
      </c>
      <c r="X14" s="33"/>
      <c r="Y14" s="33"/>
      <c r="Z14" s="33"/>
      <c r="AA14" s="40" t="s">
        <v>65</v>
      </c>
      <c r="AB14" s="38"/>
      <c r="AC14" s="38"/>
      <c r="AD14" s="38"/>
      <c r="AE14" s="40">
        <v>1010.0</v>
      </c>
      <c r="AF14" s="41" t="s">
        <v>94</v>
      </c>
      <c r="AG14" s="39" t="s">
        <v>87</v>
      </c>
    </row>
    <row r="15" ht="50.25" customHeight="1">
      <c r="A15" s="1">
        <v>8.0</v>
      </c>
      <c r="B15" s="1" t="s">
        <v>95</v>
      </c>
      <c r="C15" s="1" t="s">
        <v>96</v>
      </c>
      <c r="D15" s="32" t="s">
        <v>90</v>
      </c>
      <c r="E15" s="2">
        <v>20.0</v>
      </c>
      <c r="F15" s="9" t="s">
        <v>60</v>
      </c>
      <c r="G15" s="10">
        <v>2.0</v>
      </c>
      <c r="H15" s="10">
        <v>2.0</v>
      </c>
      <c r="I15" s="10">
        <v>4.0</v>
      </c>
      <c r="J15" s="2" t="b">
        <v>1</v>
      </c>
      <c r="K15" s="2" t="s">
        <v>61</v>
      </c>
      <c r="L15" s="2">
        <v>10.0</v>
      </c>
      <c r="M15" s="2" t="s">
        <v>62</v>
      </c>
      <c r="N15" s="2" t="s">
        <v>63</v>
      </c>
      <c r="O15" s="10">
        <v>0.001</v>
      </c>
      <c r="P15" s="10" t="s">
        <v>64</v>
      </c>
      <c r="Q15" s="10">
        <v>25.0</v>
      </c>
      <c r="R15" s="2">
        <v>2.0</v>
      </c>
      <c r="S15" s="3">
        <v>16.0</v>
      </c>
      <c r="T15" s="3">
        <v>16.0</v>
      </c>
      <c r="U15" s="3">
        <v>0.0</v>
      </c>
      <c r="V15" s="12" t="s">
        <v>42</v>
      </c>
      <c r="W15" s="33"/>
      <c r="X15" s="13">
        <v>768.0</v>
      </c>
      <c r="Y15" s="13">
        <v>1024.0</v>
      </c>
      <c r="Z15" s="13" t="b">
        <v>1</v>
      </c>
      <c r="AA15" s="40" t="s">
        <v>65</v>
      </c>
      <c r="AB15" s="38"/>
      <c r="AC15" s="38"/>
      <c r="AD15" s="38"/>
      <c r="AE15" s="40">
        <v>1010.0</v>
      </c>
      <c r="AF15" s="35" t="s">
        <v>97</v>
      </c>
      <c r="AG15" s="39" t="s">
        <v>75</v>
      </c>
    </row>
  </sheetData>
  <mergeCells count="4">
    <mergeCell ref="E1:R1"/>
    <mergeCell ref="S1:V1"/>
    <mergeCell ref="W1:Z1"/>
    <mergeCell ref="AA1:AE1"/>
  </mergeCells>
  <hyperlinks>
    <hyperlink r:id="rId1" ref="AF3"/>
    <hyperlink r:id="rId2" ref="AF4"/>
    <hyperlink r:id="rId3" ref="AF5"/>
    <hyperlink r:id="rId4" ref="AF8"/>
    <hyperlink r:id="rId5" ref="AG8"/>
    <hyperlink r:id="rId6" ref="AF9"/>
    <hyperlink r:id="rId7" ref="AG9"/>
    <hyperlink r:id="rId8" ref="AF10"/>
    <hyperlink r:id="rId9" ref="AG10"/>
    <hyperlink r:id="rId10" ref="AF11"/>
    <hyperlink r:id="rId11" ref="AG11"/>
    <hyperlink r:id="rId12" ref="AF12"/>
    <hyperlink r:id="rId13" ref="AG12"/>
    <hyperlink r:id="rId14" ref="AF13"/>
    <hyperlink r:id="rId15" ref="AG13"/>
    <hyperlink r:id="rId16" ref="AF14"/>
    <hyperlink r:id="rId17" ref="AG14"/>
    <hyperlink r:id="rId18" ref="AF15"/>
    <hyperlink r:id="rId19" ref="AG15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0"/>
    <col customWidth="1" min="2" max="2" width="43.25"/>
    <col customWidth="1" min="4" max="4" width="44.5"/>
    <col customWidth="1" min="5" max="5" width="17.0"/>
    <col customWidth="1" min="6" max="6" width="17.5"/>
    <col customWidth="1" min="7" max="8" width="26.5"/>
    <col customWidth="1" min="9" max="13" width="29.88"/>
    <col customWidth="1" min="14" max="14" width="13.63"/>
    <col customWidth="1" min="15" max="17" width="15.75"/>
    <col customWidth="1" min="18" max="18" width="27.38"/>
    <col customWidth="1" min="22" max="22" width="20.13"/>
    <col customWidth="1" min="23" max="23" width="21.25"/>
    <col customWidth="1" min="27" max="28" width="16.13"/>
    <col customWidth="1" min="29" max="29" width="23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S1" s="3" t="s">
        <v>5</v>
      </c>
      <c r="W1" s="4" t="s">
        <v>6</v>
      </c>
      <c r="AA1" s="5" t="s">
        <v>7</v>
      </c>
    </row>
    <row r="2" ht="38.25" customHeight="1">
      <c r="A2" s="1"/>
      <c r="B2" s="1"/>
      <c r="C2" s="1"/>
      <c r="D2" s="8"/>
      <c r="E2" s="2" t="s">
        <v>10</v>
      </c>
      <c r="F2" s="9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10" t="s">
        <v>20</v>
      </c>
      <c r="P2" s="10" t="s">
        <v>21</v>
      </c>
      <c r="Q2" s="10" t="s">
        <v>22</v>
      </c>
      <c r="R2" s="2" t="s">
        <v>23</v>
      </c>
      <c r="S2" s="11" t="s">
        <v>24</v>
      </c>
      <c r="T2" s="11" t="s">
        <v>25</v>
      </c>
      <c r="U2" s="11" t="s">
        <v>26</v>
      </c>
      <c r="V2" s="12" t="s">
        <v>27</v>
      </c>
      <c r="W2" s="13" t="s">
        <v>28</v>
      </c>
      <c r="X2" s="14" t="s">
        <v>29</v>
      </c>
      <c r="Y2" s="14" t="s">
        <v>30</v>
      </c>
      <c r="Z2" s="14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</row>
    <row r="3" ht="58.5" customHeight="1">
      <c r="A3" s="31">
        <v>1.0</v>
      </c>
      <c r="B3" s="1" t="s">
        <v>59</v>
      </c>
      <c r="C3" s="31" t="s">
        <v>38</v>
      </c>
      <c r="D3" s="32" t="s">
        <v>39</v>
      </c>
      <c r="E3" s="10">
        <v>3.0</v>
      </c>
      <c r="F3" s="9" t="s">
        <v>60</v>
      </c>
      <c r="G3" s="10">
        <v>2.0</v>
      </c>
      <c r="H3" s="10">
        <v>2.0</v>
      </c>
      <c r="I3" s="10">
        <v>4.0</v>
      </c>
      <c r="J3" s="2" t="b">
        <v>1</v>
      </c>
      <c r="K3" s="2" t="s">
        <v>61</v>
      </c>
      <c r="L3" s="10">
        <v>10.0</v>
      </c>
      <c r="M3" s="10" t="s">
        <v>62</v>
      </c>
      <c r="N3" s="2" t="s">
        <v>63</v>
      </c>
      <c r="O3" s="10">
        <v>0.001</v>
      </c>
      <c r="P3" s="10" t="s">
        <v>64</v>
      </c>
      <c r="Q3" s="10">
        <v>25.0</v>
      </c>
      <c r="R3" s="2">
        <v>2.0</v>
      </c>
      <c r="S3" s="3">
        <v>16.0</v>
      </c>
      <c r="T3" s="12">
        <v>16.0</v>
      </c>
      <c r="U3" s="12">
        <v>0.0</v>
      </c>
      <c r="V3" s="12" t="s">
        <v>42</v>
      </c>
      <c r="W3" s="33"/>
      <c r="X3" s="4">
        <v>640.0</v>
      </c>
      <c r="Y3" s="4">
        <v>1024.0</v>
      </c>
      <c r="Z3" s="4" t="b">
        <v>1</v>
      </c>
      <c r="AA3" s="5" t="s">
        <v>65</v>
      </c>
      <c r="AB3" s="34"/>
      <c r="AC3" s="34"/>
      <c r="AD3" s="34"/>
      <c r="AE3" s="5">
        <v>1010.0</v>
      </c>
    </row>
    <row r="4">
      <c r="A4" s="1">
        <v>2.0</v>
      </c>
      <c r="B4" s="1" t="s">
        <v>68</v>
      </c>
      <c r="C4" s="1" t="s">
        <v>69</v>
      </c>
      <c r="D4" s="32" t="s">
        <v>47</v>
      </c>
      <c r="E4" s="2">
        <v>50.0</v>
      </c>
      <c r="F4" s="9" t="s">
        <v>60</v>
      </c>
      <c r="G4" s="2">
        <v>6.0</v>
      </c>
      <c r="H4" s="2">
        <v>8.0</v>
      </c>
      <c r="I4" s="2">
        <v>3.0</v>
      </c>
      <c r="J4" s="2" t="b">
        <v>1</v>
      </c>
      <c r="K4" s="2" t="s">
        <v>70</v>
      </c>
      <c r="L4" s="2" t="s">
        <v>71</v>
      </c>
      <c r="M4" s="2" t="s">
        <v>72</v>
      </c>
      <c r="N4" s="2">
        <v>0.03</v>
      </c>
      <c r="O4" s="2">
        <v>0.1</v>
      </c>
      <c r="P4" s="2" t="s">
        <v>73</v>
      </c>
      <c r="Q4" s="37"/>
      <c r="R4" s="2">
        <v>8.0</v>
      </c>
      <c r="S4" s="3">
        <v>32.0</v>
      </c>
      <c r="T4" s="3">
        <v>64.0</v>
      </c>
      <c r="U4" s="3">
        <v>0.1</v>
      </c>
      <c r="V4" s="12" t="s">
        <v>49</v>
      </c>
      <c r="W4" s="33"/>
      <c r="X4" s="4">
        <v>768.0</v>
      </c>
      <c r="Y4" s="4">
        <v>1024.0</v>
      </c>
      <c r="Z4" s="4" t="b">
        <v>1</v>
      </c>
      <c r="AA4" s="5" t="s">
        <v>65</v>
      </c>
      <c r="AB4" s="38"/>
      <c r="AC4" s="38"/>
      <c r="AD4" s="38"/>
      <c r="AE4" s="5">
        <v>1010.0</v>
      </c>
    </row>
    <row r="5">
      <c r="A5" s="1">
        <v>3.0</v>
      </c>
      <c r="B5" s="1" t="s">
        <v>76</v>
      </c>
      <c r="C5" s="1" t="s">
        <v>77</v>
      </c>
      <c r="D5" s="32" t="s">
        <v>47</v>
      </c>
      <c r="E5" s="2">
        <v>50.0</v>
      </c>
      <c r="F5" s="9" t="s">
        <v>60</v>
      </c>
      <c r="G5" s="2">
        <v>8.0</v>
      </c>
      <c r="H5" s="2">
        <v>8.0</v>
      </c>
      <c r="I5" s="2">
        <v>2.0</v>
      </c>
      <c r="J5" s="2" t="b">
        <v>1</v>
      </c>
      <c r="K5" s="2" t="s">
        <v>61</v>
      </c>
      <c r="L5" s="2">
        <v>10.0</v>
      </c>
      <c r="M5" s="2" t="s">
        <v>62</v>
      </c>
      <c r="N5" s="2" t="s">
        <v>63</v>
      </c>
      <c r="O5" s="2">
        <v>0.001</v>
      </c>
      <c r="P5" s="2" t="s">
        <v>73</v>
      </c>
      <c r="Q5" s="37"/>
      <c r="R5" s="2">
        <v>2.0</v>
      </c>
      <c r="S5" s="3">
        <v>16.0</v>
      </c>
      <c r="T5" s="3">
        <v>16.0</v>
      </c>
      <c r="U5" s="3">
        <v>0.0</v>
      </c>
      <c r="V5" s="3" t="s">
        <v>49</v>
      </c>
      <c r="W5" s="33"/>
      <c r="X5" s="13">
        <v>768.0</v>
      </c>
      <c r="Y5" s="13">
        <v>1024.0</v>
      </c>
      <c r="Z5" s="13" t="b">
        <v>1</v>
      </c>
      <c r="AA5" s="40" t="s">
        <v>65</v>
      </c>
      <c r="AB5" s="38"/>
      <c r="AC5" s="38"/>
      <c r="AD5" s="38"/>
      <c r="AE5" s="40">
        <v>1010.0</v>
      </c>
    </row>
    <row r="6" ht="45.0" customHeight="1">
      <c r="A6" s="1">
        <v>4.0</v>
      </c>
      <c r="B6" s="1" t="s">
        <v>79</v>
      </c>
      <c r="C6" s="1" t="s">
        <v>80</v>
      </c>
      <c r="D6" s="32" t="s">
        <v>39</v>
      </c>
      <c r="E6" s="2">
        <v>50.0</v>
      </c>
      <c r="F6" s="9" t="s">
        <v>60</v>
      </c>
      <c r="G6" s="2">
        <v>2.0</v>
      </c>
      <c r="H6" s="2">
        <v>2.0</v>
      </c>
      <c r="I6" s="2">
        <v>4.0</v>
      </c>
      <c r="J6" s="2" t="b">
        <v>1</v>
      </c>
      <c r="K6" s="2" t="s">
        <v>61</v>
      </c>
      <c r="L6" s="2">
        <v>10.0</v>
      </c>
      <c r="M6" s="2" t="s">
        <v>62</v>
      </c>
      <c r="N6" s="2" t="s">
        <v>63</v>
      </c>
      <c r="O6" s="2">
        <v>0.001</v>
      </c>
      <c r="P6" s="2" t="s">
        <v>73</v>
      </c>
      <c r="Q6" s="37"/>
      <c r="R6" s="2">
        <v>2.0</v>
      </c>
      <c r="S6" s="3">
        <v>16.0</v>
      </c>
      <c r="T6" s="3">
        <v>16.0</v>
      </c>
      <c r="U6" s="3">
        <v>0.0</v>
      </c>
      <c r="V6" s="12" t="s">
        <v>42</v>
      </c>
      <c r="W6" s="13"/>
      <c r="X6" s="13">
        <v>768.0</v>
      </c>
      <c r="Y6" s="13">
        <v>1024.0</v>
      </c>
      <c r="Z6" s="13" t="b">
        <v>1</v>
      </c>
      <c r="AA6" s="40" t="s">
        <v>65</v>
      </c>
      <c r="AB6" s="38"/>
      <c r="AC6" s="38"/>
      <c r="AD6" s="38"/>
      <c r="AE6" s="40">
        <v>1010.0</v>
      </c>
    </row>
    <row r="7" ht="45.0" customHeight="1">
      <c r="A7" s="1">
        <v>5.0</v>
      </c>
      <c r="B7" s="1" t="s">
        <v>82</v>
      </c>
      <c r="C7" s="1" t="s">
        <v>83</v>
      </c>
      <c r="D7" s="32" t="s">
        <v>39</v>
      </c>
      <c r="E7" s="2">
        <v>20.0</v>
      </c>
      <c r="F7" s="9" t="s">
        <v>84</v>
      </c>
      <c r="G7" s="2">
        <v>2.0</v>
      </c>
      <c r="H7" s="2">
        <v>2.0</v>
      </c>
      <c r="I7" s="2">
        <v>8.0</v>
      </c>
      <c r="J7" s="2" t="b">
        <v>1</v>
      </c>
      <c r="K7" s="2" t="s">
        <v>41</v>
      </c>
      <c r="L7" s="2">
        <v>20.0</v>
      </c>
      <c r="M7" s="2" t="s">
        <v>72</v>
      </c>
      <c r="N7" s="2" t="s">
        <v>63</v>
      </c>
      <c r="O7" s="2">
        <v>0.01</v>
      </c>
      <c r="P7" s="2" t="s">
        <v>73</v>
      </c>
      <c r="Q7" s="37"/>
      <c r="R7" s="2">
        <v>2.0</v>
      </c>
      <c r="S7" s="3">
        <v>16.0</v>
      </c>
      <c r="T7" s="3">
        <v>16.0</v>
      </c>
      <c r="U7" s="3">
        <v>0.05</v>
      </c>
      <c r="V7" s="12" t="s">
        <v>42</v>
      </c>
      <c r="W7" s="13" t="s">
        <v>85</v>
      </c>
      <c r="X7" s="33"/>
      <c r="Y7" s="33"/>
      <c r="Z7" s="33"/>
      <c r="AA7" s="40" t="s">
        <v>65</v>
      </c>
      <c r="AB7" s="38"/>
      <c r="AC7" s="38"/>
      <c r="AD7" s="38"/>
      <c r="AE7" s="40">
        <v>1010.0</v>
      </c>
    </row>
    <row r="8" ht="45.75" customHeight="1">
      <c r="A8" s="1">
        <v>6.0</v>
      </c>
      <c r="B8" s="1" t="s">
        <v>88</v>
      </c>
      <c r="C8" s="1" t="s">
        <v>89</v>
      </c>
      <c r="D8" s="32" t="s">
        <v>90</v>
      </c>
      <c r="E8" s="2">
        <v>30.0</v>
      </c>
      <c r="F8" s="9" t="s">
        <v>91</v>
      </c>
      <c r="G8" s="2">
        <v>1.0</v>
      </c>
      <c r="H8" s="2">
        <v>1.0</v>
      </c>
      <c r="I8" s="2">
        <v>16.0</v>
      </c>
      <c r="J8" s="2" t="b">
        <v>1</v>
      </c>
      <c r="K8" s="2" t="s">
        <v>41</v>
      </c>
      <c r="L8" s="2">
        <v>50.0</v>
      </c>
      <c r="M8" s="2" t="s">
        <v>62</v>
      </c>
      <c r="N8" s="2" t="s">
        <v>63</v>
      </c>
      <c r="O8" s="2">
        <v>0.05</v>
      </c>
      <c r="P8" s="2" t="s">
        <v>73</v>
      </c>
      <c r="Q8" s="37"/>
      <c r="R8" s="2">
        <v>2.0</v>
      </c>
      <c r="S8" s="3">
        <v>32.0</v>
      </c>
      <c r="T8" s="3">
        <v>64.0</v>
      </c>
      <c r="U8" s="3">
        <v>0.1</v>
      </c>
      <c r="V8" s="12" t="s">
        <v>42</v>
      </c>
      <c r="W8" s="13">
        <v>1024.0</v>
      </c>
      <c r="X8" s="33"/>
      <c r="Y8" s="33"/>
      <c r="Z8" s="33"/>
      <c r="AA8" s="40" t="s">
        <v>65</v>
      </c>
      <c r="AB8" s="38"/>
      <c r="AC8" s="38"/>
      <c r="AD8" s="38"/>
      <c r="AE8" s="40">
        <v>1010.0</v>
      </c>
    </row>
    <row r="9" ht="38.25" customHeight="1">
      <c r="A9" s="1">
        <v>7.0</v>
      </c>
      <c r="B9" s="1" t="s">
        <v>93</v>
      </c>
      <c r="C9" s="1" t="s">
        <v>89</v>
      </c>
      <c r="D9" s="32" t="s">
        <v>90</v>
      </c>
      <c r="E9" s="2">
        <v>20.0</v>
      </c>
      <c r="F9" s="9" t="s">
        <v>60</v>
      </c>
      <c r="G9" s="2">
        <v>4.0</v>
      </c>
      <c r="H9" s="2">
        <v>4.0</v>
      </c>
      <c r="I9" s="2">
        <v>1.0</v>
      </c>
      <c r="J9" s="2" t="b">
        <v>1</v>
      </c>
      <c r="K9" s="2" t="s">
        <v>61</v>
      </c>
      <c r="L9" s="2">
        <v>10.0</v>
      </c>
      <c r="M9" s="2" t="s">
        <v>72</v>
      </c>
      <c r="N9" s="2" t="s">
        <v>63</v>
      </c>
      <c r="O9" s="10">
        <v>0.001</v>
      </c>
      <c r="P9" s="2" t="s">
        <v>73</v>
      </c>
      <c r="Q9" s="37"/>
      <c r="R9" s="2">
        <v>2.0</v>
      </c>
      <c r="S9" s="3">
        <v>32.0</v>
      </c>
      <c r="T9" s="3">
        <v>64.0</v>
      </c>
      <c r="U9" s="3">
        <v>0.1</v>
      </c>
      <c r="V9" s="12" t="s">
        <v>42</v>
      </c>
      <c r="W9" s="13">
        <v>1540.0</v>
      </c>
      <c r="X9" s="33"/>
      <c r="Y9" s="33"/>
      <c r="Z9" s="33"/>
      <c r="AA9" s="40" t="s">
        <v>65</v>
      </c>
      <c r="AB9" s="38"/>
      <c r="AC9" s="38"/>
      <c r="AD9" s="38"/>
      <c r="AE9" s="40">
        <v>1010.0</v>
      </c>
    </row>
    <row r="10" ht="50.25" customHeight="1">
      <c r="A10" s="1">
        <v>8.0</v>
      </c>
      <c r="B10" s="1" t="s">
        <v>95</v>
      </c>
      <c r="C10" s="1" t="s">
        <v>96</v>
      </c>
      <c r="D10" s="32" t="s">
        <v>90</v>
      </c>
      <c r="E10" s="2">
        <v>20.0</v>
      </c>
      <c r="F10" s="9" t="s">
        <v>60</v>
      </c>
      <c r="G10" s="10">
        <v>2.0</v>
      </c>
      <c r="H10" s="10">
        <v>2.0</v>
      </c>
      <c r="I10" s="10">
        <v>4.0</v>
      </c>
      <c r="J10" s="2" t="b">
        <v>1</v>
      </c>
      <c r="K10" s="2" t="s">
        <v>61</v>
      </c>
      <c r="L10" s="2">
        <v>10.0</v>
      </c>
      <c r="M10" s="2" t="s">
        <v>62</v>
      </c>
      <c r="N10" s="2" t="s">
        <v>63</v>
      </c>
      <c r="O10" s="10">
        <v>0.001</v>
      </c>
      <c r="P10" s="10" t="s">
        <v>64</v>
      </c>
      <c r="Q10" s="10">
        <v>25.0</v>
      </c>
      <c r="R10" s="2">
        <v>2.0</v>
      </c>
      <c r="S10" s="3">
        <v>16.0</v>
      </c>
      <c r="T10" s="3">
        <v>16.0</v>
      </c>
      <c r="U10" s="3">
        <v>0.0</v>
      </c>
      <c r="V10" s="12" t="s">
        <v>42</v>
      </c>
      <c r="W10" s="33"/>
      <c r="X10" s="13">
        <v>768.0</v>
      </c>
      <c r="Y10" s="13">
        <v>1024.0</v>
      </c>
      <c r="Z10" s="13" t="b">
        <v>1</v>
      </c>
      <c r="AA10" s="40" t="s">
        <v>65</v>
      </c>
      <c r="AB10" s="38"/>
      <c r="AC10" s="38"/>
      <c r="AD10" s="38"/>
      <c r="AE10" s="40">
        <v>1010.0</v>
      </c>
    </row>
  </sheetData>
  <mergeCells count="4">
    <mergeCell ref="E1:R1"/>
    <mergeCell ref="S1:V1"/>
    <mergeCell ref="W1:Z1"/>
    <mergeCell ref="AA1:A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13"/>
    <col customWidth="1" min="2" max="2" width="34.75"/>
    <col customWidth="1" min="3" max="3" width="17.5"/>
    <col customWidth="1" min="14" max="14" width="29.38"/>
    <col customWidth="1" min="15" max="17" width="27.88"/>
  </cols>
  <sheetData>
    <row r="1">
      <c r="A1" s="31" t="s">
        <v>0</v>
      </c>
      <c r="B1" s="1" t="s">
        <v>1</v>
      </c>
      <c r="C1" s="1" t="s">
        <v>98</v>
      </c>
      <c r="D1" s="42" t="s">
        <v>99</v>
      </c>
      <c r="I1" s="4" t="s">
        <v>100</v>
      </c>
      <c r="N1" s="6" t="s">
        <v>8</v>
      </c>
      <c r="O1" s="7" t="s">
        <v>9</v>
      </c>
      <c r="P1" s="7" t="s">
        <v>101</v>
      </c>
      <c r="Q1" s="7" t="s">
        <v>102</v>
      </c>
    </row>
    <row r="2">
      <c r="A2" s="43"/>
      <c r="B2" s="43"/>
      <c r="C2" s="8"/>
      <c r="D2" s="42" t="s">
        <v>103</v>
      </c>
      <c r="E2" s="42" t="s">
        <v>104</v>
      </c>
      <c r="F2" s="42" t="s">
        <v>105</v>
      </c>
      <c r="G2" s="42" t="s">
        <v>106</v>
      </c>
      <c r="H2" s="42" t="s">
        <v>107</v>
      </c>
      <c r="I2" s="4" t="s">
        <v>103</v>
      </c>
      <c r="J2" s="4" t="s">
        <v>104</v>
      </c>
      <c r="K2" s="4" t="s">
        <v>105</v>
      </c>
      <c r="L2" s="4" t="s">
        <v>106</v>
      </c>
      <c r="M2" s="4" t="s">
        <v>107</v>
      </c>
      <c r="N2" s="15"/>
      <c r="O2" s="16"/>
      <c r="P2" s="16"/>
      <c r="Q2" s="16"/>
    </row>
    <row r="3">
      <c r="A3" s="17">
        <v>1.0</v>
      </c>
      <c r="B3" s="17" t="s">
        <v>37</v>
      </c>
      <c r="C3" s="17">
        <v>21.0</v>
      </c>
      <c r="D3" s="44">
        <v>0.8387</v>
      </c>
      <c r="E3" s="44">
        <v>1.0813</v>
      </c>
      <c r="F3" s="22"/>
      <c r="G3" s="22"/>
      <c r="H3" s="22"/>
      <c r="I3" s="44">
        <v>0.1437</v>
      </c>
      <c r="J3" s="44">
        <v>0.4234</v>
      </c>
      <c r="K3" s="22"/>
      <c r="L3" s="22"/>
      <c r="M3" s="22"/>
      <c r="N3" s="24"/>
      <c r="O3" s="24"/>
      <c r="P3" s="24"/>
      <c r="Q3" s="24"/>
    </row>
    <row r="4">
      <c r="A4" s="17">
        <v>2.0</v>
      </c>
      <c r="B4" s="17" t="s">
        <v>45</v>
      </c>
      <c r="C4" s="17">
        <v>40.0</v>
      </c>
      <c r="D4" s="44">
        <v>0.8387</v>
      </c>
      <c r="E4" s="44">
        <v>1.0813</v>
      </c>
      <c r="F4" s="22"/>
      <c r="G4" s="22"/>
      <c r="H4" s="22"/>
      <c r="I4" s="44">
        <v>0.0365</v>
      </c>
      <c r="J4" s="44">
        <v>0.1565</v>
      </c>
      <c r="K4" s="22"/>
      <c r="L4" s="22"/>
      <c r="M4" s="22"/>
      <c r="N4" s="24"/>
      <c r="O4" s="24"/>
      <c r="P4" s="24"/>
      <c r="Q4" s="24"/>
    </row>
    <row r="5">
      <c r="A5" s="17">
        <v>3.0</v>
      </c>
      <c r="B5" s="17" t="s">
        <v>52</v>
      </c>
      <c r="C5" s="17">
        <v>30.0</v>
      </c>
      <c r="D5" s="44">
        <v>0.9515</v>
      </c>
      <c r="E5" s="44">
        <v>0.9969</v>
      </c>
      <c r="F5" s="44">
        <v>0.0132</v>
      </c>
      <c r="G5" s="45">
        <v>0.0</v>
      </c>
      <c r="H5" s="45"/>
      <c r="I5" s="44">
        <v>0.9498</v>
      </c>
      <c r="J5" s="44">
        <v>0.9839</v>
      </c>
      <c r="K5" s="44">
        <v>0.0383</v>
      </c>
      <c r="L5" s="20">
        <v>0.0</v>
      </c>
      <c r="M5" s="20"/>
      <c r="N5" s="24"/>
      <c r="O5" s="24"/>
      <c r="P5" s="24"/>
      <c r="Q5" s="24"/>
    </row>
    <row r="6">
      <c r="A6" s="20">
        <v>4.0</v>
      </c>
      <c r="B6" s="17" t="s">
        <v>45</v>
      </c>
      <c r="C6" s="17">
        <v>40.0</v>
      </c>
      <c r="D6" s="44">
        <v>0.8387</v>
      </c>
      <c r="E6" s="44">
        <v>1.0813</v>
      </c>
      <c r="F6" s="22"/>
      <c r="G6" s="22"/>
      <c r="H6" s="22"/>
      <c r="I6" s="44">
        <v>0.0381</v>
      </c>
      <c r="J6" s="44">
        <v>0.159</v>
      </c>
      <c r="K6" s="22"/>
      <c r="L6" s="22"/>
      <c r="M6" s="22"/>
      <c r="N6" s="24"/>
      <c r="O6" s="24"/>
      <c r="P6" s="24"/>
      <c r="Q6" s="24"/>
    </row>
    <row r="7" ht="27.0" customHeight="1">
      <c r="A7" s="46" t="s">
        <v>108</v>
      </c>
      <c r="M7" s="46"/>
      <c r="N7" s="26"/>
      <c r="O7" s="26"/>
      <c r="P7" s="26"/>
      <c r="Q7" s="26"/>
    </row>
    <row r="8">
      <c r="A8" s="31">
        <v>1.0</v>
      </c>
      <c r="B8" s="1" t="s">
        <v>59</v>
      </c>
      <c r="C8" s="1">
        <v>202.0</v>
      </c>
      <c r="D8" s="47">
        <v>0.6146</v>
      </c>
      <c r="E8" s="47">
        <v>0.7817</v>
      </c>
      <c r="F8" s="47">
        <v>0.3754</v>
      </c>
      <c r="G8" s="47">
        <v>0.3854</v>
      </c>
      <c r="H8" s="47">
        <v>0.3749</v>
      </c>
      <c r="I8" s="48">
        <v>0.0302</v>
      </c>
      <c r="J8" s="48">
        <v>0.1227</v>
      </c>
      <c r="K8" s="48">
        <v>0.8441</v>
      </c>
      <c r="L8" s="48">
        <v>0.9698</v>
      </c>
      <c r="M8" s="48">
        <v>0.9531</v>
      </c>
      <c r="N8" s="35" t="s">
        <v>66</v>
      </c>
      <c r="O8" s="36" t="s">
        <v>67</v>
      </c>
      <c r="P8" s="7"/>
      <c r="Q8" s="7" t="s">
        <v>109</v>
      </c>
    </row>
    <row r="9">
      <c r="A9" s="1">
        <v>2.0</v>
      </c>
      <c r="B9" s="1" t="s">
        <v>110</v>
      </c>
      <c r="C9" s="1">
        <v>202.0</v>
      </c>
      <c r="D9" s="47">
        <v>0.9611</v>
      </c>
      <c r="E9" s="47">
        <v>0.993</v>
      </c>
      <c r="F9" s="47">
        <v>0.194</v>
      </c>
      <c r="G9" s="47">
        <v>0.0389</v>
      </c>
      <c r="H9" s="47">
        <v>0.0585</v>
      </c>
      <c r="I9" s="48">
        <v>0.3471</v>
      </c>
      <c r="J9" s="48">
        <v>0.4745</v>
      </c>
      <c r="K9" s="48">
        <v>0.5191</v>
      </c>
      <c r="L9" s="48">
        <v>0.6529</v>
      </c>
      <c r="M9" s="48">
        <v>0.7288</v>
      </c>
      <c r="N9" s="35" t="s">
        <v>74</v>
      </c>
      <c r="O9" s="39" t="s">
        <v>75</v>
      </c>
      <c r="P9" s="49"/>
      <c r="Q9" s="49" t="s">
        <v>111</v>
      </c>
    </row>
    <row r="10">
      <c r="A10" s="1">
        <v>3.0</v>
      </c>
      <c r="B10" s="1" t="s">
        <v>112</v>
      </c>
      <c r="C10" s="1">
        <v>202.0</v>
      </c>
      <c r="D10" s="47">
        <v>0.9611</v>
      </c>
      <c r="E10" s="47">
        <v>0.993</v>
      </c>
      <c r="F10" s="47">
        <v>0.194</v>
      </c>
      <c r="G10" s="47">
        <v>0.0389</v>
      </c>
      <c r="H10" s="47">
        <v>0.0585</v>
      </c>
      <c r="I10" s="48">
        <v>0.0694</v>
      </c>
      <c r="J10" s="48">
        <v>0.1723</v>
      </c>
      <c r="K10" s="48">
        <v>0.7739</v>
      </c>
      <c r="L10" s="48">
        <v>0.9306</v>
      </c>
      <c r="M10" s="48">
        <v>0.9153</v>
      </c>
      <c r="N10" s="35" t="s">
        <v>78</v>
      </c>
      <c r="O10" s="39" t="s">
        <v>75</v>
      </c>
      <c r="P10" s="49"/>
      <c r="Q10" s="49" t="s">
        <v>113</v>
      </c>
    </row>
    <row r="11" ht="39.0" customHeight="1">
      <c r="A11" s="1">
        <v>4.0</v>
      </c>
      <c r="B11" s="1" t="s">
        <v>114</v>
      </c>
      <c r="C11" s="1">
        <v>202.0</v>
      </c>
      <c r="D11" s="47">
        <v>0.9611</v>
      </c>
      <c r="E11" s="47">
        <v>0.993</v>
      </c>
      <c r="F11" s="47">
        <v>0.194</v>
      </c>
      <c r="G11" s="47">
        <v>0.0389</v>
      </c>
      <c r="H11" s="47">
        <v>0.0585</v>
      </c>
      <c r="I11" s="50">
        <v>0.0694</v>
      </c>
      <c r="J11" s="50">
        <v>0.1828</v>
      </c>
      <c r="K11" s="48">
        <v>0.7794</v>
      </c>
      <c r="L11" s="50">
        <v>0.9306</v>
      </c>
      <c r="M11" s="50">
        <v>0.9181</v>
      </c>
      <c r="N11" s="35" t="s">
        <v>81</v>
      </c>
      <c r="O11" s="39" t="s">
        <v>75</v>
      </c>
      <c r="P11" s="49"/>
      <c r="Q11" s="49" t="s">
        <v>115</v>
      </c>
    </row>
    <row r="12" ht="33.75" customHeight="1">
      <c r="A12" s="1">
        <v>5.0</v>
      </c>
      <c r="B12" s="1" t="s">
        <v>116</v>
      </c>
      <c r="C12" s="1">
        <v>202.0</v>
      </c>
      <c r="D12" s="51">
        <v>0.8805</v>
      </c>
      <c r="E12" s="51">
        <v>0.9896</v>
      </c>
      <c r="F12" s="51">
        <v>0.1311</v>
      </c>
      <c r="G12" s="51">
        <v>0.1195</v>
      </c>
      <c r="H12" s="51">
        <v>0.0316</v>
      </c>
      <c r="I12" s="50">
        <v>0.2517</v>
      </c>
      <c r="J12" s="50">
        <v>0.3831</v>
      </c>
      <c r="K12" s="48">
        <v>0.5342</v>
      </c>
      <c r="L12" s="50">
        <v>0.7483</v>
      </c>
      <c r="M12" s="50">
        <v>0.7329</v>
      </c>
      <c r="N12" s="35" t="s">
        <v>86</v>
      </c>
      <c r="O12" s="39" t="s">
        <v>87</v>
      </c>
      <c r="P12" s="49"/>
      <c r="Q12" s="49" t="s">
        <v>117</v>
      </c>
    </row>
    <row r="13" ht="48.0" customHeight="1">
      <c r="A13" s="1">
        <v>6.0</v>
      </c>
      <c r="B13" s="1" t="s">
        <v>88</v>
      </c>
      <c r="C13" s="1">
        <v>202.0</v>
      </c>
      <c r="D13" s="51">
        <v>0.8805</v>
      </c>
      <c r="E13" s="51">
        <v>0.9896</v>
      </c>
      <c r="F13" s="51">
        <v>0.1311</v>
      </c>
      <c r="G13" s="51">
        <v>0.1195</v>
      </c>
      <c r="H13" s="51">
        <v>0.0316</v>
      </c>
      <c r="I13" s="48">
        <v>0.1413</v>
      </c>
      <c r="J13" s="48">
        <v>0.2118</v>
      </c>
      <c r="K13" s="48">
        <v>0.6541</v>
      </c>
      <c r="L13" s="48">
        <v>0.8587</v>
      </c>
      <c r="M13" s="48">
        <v>0.8332</v>
      </c>
      <c r="N13" s="35" t="s">
        <v>92</v>
      </c>
      <c r="O13" s="39" t="s">
        <v>87</v>
      </c>
      <c r="P13" s="49"/>
      <c r="Q13" s="49" t="s">
        <v>118</v>
      </c>
    </row>
    <row r="14" ht="45.0" customHeight="1">
      <c r="A14" s="1">
        <v>7.0</v>
      </c>
      <c r="B14" s="1" t="s">
        <v>93</v>
      </c>
      <c r="C14" s="1">
        <v>202.0</v>
      </c>
      <c r="D14" s="51">
        <v>0.8805</v>
      </c>
      <c r="E14" s="51">
        <v>0.9896</v>
      </c>
      <c r="F14" s="51">
        <v>0.1311</v>
      </c>
      <c r="G14" s="51">
        <v>0.1195</v>
      </c>
      <c r="H14" s="51">
        <v>0.0316</v>
      </c>
      <c r="I14" s="50">
        <v>0.0105</v>
      </c>
      <c r="J14" s="50">
        <v>0.0563</v>
      </c>
      <c r="K14" s="50">
        <v>0.9492</v>
      </c>
      <c r="L14" s="50">
        <v>0.9895</v>
      </c>
      <c r="M14" s="50">
        <v>0.9808</v>
      </c>
      <c r="N14" s="35" t="s">
        <v>94</v>
      </c>
      <c r="O14" s="39" t="s">
        <v>87</v>
      </c>
      <c r="P14" s="49"/>
      <c r="Q14" s="49" t="s">
        <v>119</v>
      </c>
    </row>
    <row r="15" ht="49.5" customHeight="1">
      <c r="A15" s="1">
        <v>8.0</v>
      </c>
      <c r="B15" s="1" t="s">
        <v>95</v>
      </c>
      <c r="C15" s="1">
        <v>202.0</v>
      </c>
      <c r="D15" s="51">
        <v>0.8805</v>
      </c>
      <c r="E15" s="51">
        <v>0.9896</v>
      </c>
      <c r="F15" s="51">
        <v>0.1311</v>
      </c>
      <c r="G15" s="51">
        <v>0.1195</v>
      </c>
      <c r="H15" s="47">
        <v>0.0585</v>
      </c>
      <c r="I15" s="50">
        <v>0.0831</v>
      </c>
      <c r="J15" s="50">
        <v>0.1975</v>
      </c>
      <c r="K15" s="50">
        <v>0.7602</v>
      </c>
      <c r="L15" s="50">
        <v>0.9169</v>
      </c>
      <c r="M15" s="50">
        <v>0.9046</v>
      </c>
      <c r="N15" s="35" t="s">
        <v>97</v>
      </c>
      <c r="O15" s="39" t="s">
        <v>75</v>
      </c>
      <c r="P15" s="49"/>
      <c r="Q15" s="49" t="s">
        <v>120</v>
      </c>
    </row>
    <row r="16" ht="27.75" customHeight="1">
      <c r="A16" s="1"/>
      <c r="B16" s="1"/>
      <c r="C16" s="1"/>
      <c r="D16" s="52"/>
      <c r="E16" s="52"/>
      <c r="F16" s="52"/>
      <c r="G16" s="52"/>
      <c r="H16" s="52"/>
      <c r="I16" s="13"/>
      <c r="J16" s="13"/>
      <c r="K16" s="13"/>
      <c r="L16" s="13"/>
      <c r="M16" s="13"/>
      <c r="N16" s="53"/>
      <c r="O16" s="54"/>
      <c r="P16" s="54"/>
      <c r="Q16" s="54"/>
    </row>
    <row r="17" ht="18.0" customHeight="1">
      <c r="A17" s="1"/>
      <c r="B17" s="1"/>
      <c r="C17" s="1"/>
      <c r="D17" s="52"/>
      <c r="E17" s="52"/>
      <c r="F17" s="52"/>
      <c r="G17" s="52"/>
      <c r="H17" s="52"/>
      <c r="I17" s="13"/>
      <c r="J17" s="13"/>
      <c r="K17" s="13"/>
      <c r="L17" s="13"/>
      <c r="M17" s="13"/>
      <c r="N17" s="53"/>
      <c r="O17" s="54"/>
      <c r="P17" s="54"/>
      <c r="Q17" s="54"/>
    </row>
    <row r="18" ht="12.75" customHeight="1">
      <c r="A18" s="1"/>
      <c r="B18" s="1"/>
      <c r="C18" s="1"/>
      <c r="D18" s="52"/>
      <c r="E18" s="52"/>
      <c r="F18" s="52"/>
      <c r="G18" s="52"/>
      <c r="H18" s="52"/>
      <c r="I18" s="13"/>
      <c r="J18" s="13"/>
      <c r="K18" s="13"/>
      <c r="L18" s="13"/>
      <c r="M18" s="13"/>
      <c r="N18" s="53"/>
      <c r="O18" s="54"/>
      <c r="P18" s="54"/>
      <c r="Q18" s="54"/>
    </row>
    <row r="19" ht="24.75" customHeight="1">
      <c r="A19" s="55" t="s">
        <v>121</v>
      </c>
      <c r="M19" s="55"/>
      <c r="N19" s="56"/>
      <c r="O19" s="56"/>
      <c r="P19" s="56"/>
      <c r="Q19" s="56"/>
    </row>
    <row r="20" ht="46.5" customHeight="1">
      <c r="A20" s="1">
        <v>1.0</v>
      </c>
      <c r="B20" s="1" t="s">
        <v>122</v>
      </c>
      <c r="C20" s="1">
        <v>202.0</v>
      </c>
      <c r="D20" s="47">
        <v>0.6146</v>
      </c>
      <c r="E20" s="47">
        <v>0.7817</v>
      </c>
      <c r="F20" s="47">
        <v>0.3754</v>
      </c>
      <c r="G20" s="47">
        <v>0.3854</v>
      </c>
      <c r="H20" s="47">
        <v>0.3749</v>
      </c>
      <c r="I20" s="48">
        <v>0.0302</v>
      </c>
      <c r="J20" s="48">
        <v>0.1227</v>
      </c>
      <c r="K20" s="48">
        <v>0.8441</v>
      </c>
      <c r="L20" s="48">
        <v>0.9698</v>
      </c>
      <c r="M20" s="48">
        <v>0.9531</v>
      </c>
      <c r="N20" s="35" t="s">
        <v>66</v>
      </c>
      <c r="O20" s="36" t="s">
        <v>67</v>
      </c>
      <c r="P20" s="7"/>
      <c r="Q20" s="7"/>
    </row>
    <row r="21" ht="46.5" customHeight="1">
      <c r="A21" s="1">
        <v>2.0</v>
      </c>
      <c r="B21" s="1" t="s">
        <v>123</v>
      </c>
      <c r="C21" s="1">
        <v>202.0</v>
      </c>
      <c r="D21" s="47">
        <v>0.9611</v>
      </c>
      <c r="E21" s="47">
        <v>0.993</v>
      </c>
      <c r="F21" s="47">
        <v>0.194</v>
      </c>
      <c r="G21" s="47">
        <v>0.0389</v>
      </c>
      <c r="H21" s="47">
        <v>0.0585</v>
      </c>
      <c r="I21" s="48">
        <v>0.0694</v>
      </c>
      <c r="J21" s="48">
        <v>0.1723</v>
      </c>
      <c r="K21" s="48">
        <v>0.7739</v>
      </c>
      <c r="L21" s="48">
        <v>0.9306</v>
      </c>
      <c r="M21" s="48">
        <v>0.9153</v>
      </c>
      <c r="N21" s="35" t="s">
        <v>78</v>
      </c>
      <c r="O21" s="39" t="s">
        <v>75</v>
      </c>
      <c r="P21" s="49"/>
      <c r="Q21" s="49"/>
    </row>
    <row r="22" ht="46.5" customHeight="1">
      <c r="A22" s="1">
        <v>3.0</v>
      </c>
      <c r="B22" s="1" t="s">
        <v>124</v>
      </c>
      <c r="C22" s="1">
        <v>202.0</v>
      </c>
      <c r="D22" s="51">
        <v>0.8805</v>
      </c>
      <c r="E22" s="51">
        <v>0.9896</v>
      </c>
      <c r="F22" s="51">
        <v>0.1311</v>
      </c>
      <c r="G22" s="51">
        <v>0.1195</v>
      </c>
      <c r="H22" s="51">
        <v>0.0316</v>
      </c>
      <c r="I22" s="57">
        <v>0.0105</v>
      </c>
      <c r="J22" s="57">
        <v>0.0563</v>
      </c>
      <c r="K22" s="57">
        <v>0.9492</v>
      </c>
      <c r="L22" s="57">
        <v>0.9895</v>
      </c>
      <c r="M22" s="57">
        <v>0.9808</v>
      </c>
      <c r="N22" s="35" t="s">
        <v>94</v>
      </c>
      <c r="O22" s="39" t="s">
        <v>87</v>
      </c>
      <c r="P22" s="49"/>
      <c r="Q22" s="49"/>
    </row>
    <row r="23" ht="46.5" customHeight="1">
      <c r="A23" s="1">
        <v>4.0</v>
      </c>
      <c r="B23" s="1" t="s">
        <v>125</v>
      </c>
      <c r="C23" s="1">
        <v>202.0</v>
      </c>
      <c r="D23" s="51">
        <v>0.0884</v>
      </c>
      <c r="E23" s="51">
        <v>0.2664</v>
      </c>
      <c r="F23" s="51">
        <v>0.7806</v>
      </c>
      <c r="G23" s="51">
        <v>0.9116</v>
      </c>
      <c r="H23" s="51">
        <v>0.8877</v>
      </c>
      <c r="I23" s="13" t="s">
        <v>126</v>
      </c>
      <c r="J23" s="13" t="s">
        <v>126</v>
      </c>
      <c r="K23" s="13" t="s">
        <v>126</v>
      </c>
      <c r="L23" s="13" t="s">
        <v>126</v>
      </c>
      <c r="M23" s="13" t="s">
        <v>126</v>
      </c>
      <c r="N23" s="6" t="s">
        <v>126</v>
      </c>
      <c r="O23" s="39" t="s">
        <v>125</v>
      </c>
      <c r="P23" s="49"/>
      <c r="Q23" s="49"/>
    </row>
    <row r="24" ht="48.75" customHeight="1">
      <c r="A24" s="1">
        <v>5.0</v>
      </c>
      <c r="B24" s="1" t="s">
        <v>127</v>
      </c>
      <c r="C24" s="1">
        <v>202.0</v>
      </c>
      <c r="D24" s="51">
        <v>0.1069</v>
      </c>
      <c r="E24" s="51">
        <v>0.4514</v>
      </c>
      <c r="F24" s="51">
        <v>0.7947</v>
      </c>
      <c r="G24" s="51">
        <v>0.8951</v>
      </c>
      <c r="H24" s="51">
        <v>0.8117</v>
      </c>
      <c r="I24" s="13" t="s">
        <v>126</v>
      </c>
      <c r="J24" s="13" t="s">
        <v>126</v>
      </c>
      <c r="K24" s="13" t="s">
        <v>126</v>
      </c>
      <c r="L24" s="13" t="s">
        <v>126</v>
      </c>
      <c r="M24" s="13" t="s">
        <v>126</v>
      </c>
      <c r="N24" s="6" t="s">
        <v>126</v>
      </c>
      <c r="O24" s="39" t="s">
        <v>128</v>
      </c>
      <c r="P24" s="49"/>
      <c r="Q24" s="49"/>
    </row>
    <row r="25" ht="46.5" customHeight="1">
      <c r="A25" s="1">
        <v>6.0</v>
      </c>
      <c r="B25" s="1" t="s">
        <v>129</v>
      </c>
      <c r="C25" s="1">
        <v>202.0</v>
      </c>
      <c r="D25" s="51">
        <v>0.0206</v>
      </c>
      <c r="E25" s="51">
        <v>0.0826</v>
      </c>
      <c r="F25" s="51">
        <v>0.9609</v>
      </c>
      <c r="G25" s="51">
        <v>0.9797</v>
      </c>
      <c r="H25" s="51">
        <v>0.9724</v>
      </c>
      <c r="I25" s="13" t="s">
        <v>126</v>
      </c>
      <c r="J25" s="13" t="s">
        <v>126</v>
      </c>
      <c r="K25" s="13" t="s">
        <v>126</v>
      </c>
      <c r="L25" s="13" t="s">
        <v>126</v>
      </c>
      <c r="M25" s="13" t="s">
        <v>126</v>
      </c>
      <c r="N25" s="6" t="s">
        <v>126</v>
      </c>
      <c r="O25" s="39" t="s">
        <v>130</v>
      </c>
      <c r="P25" s="49" t="s">
        <v>131</v>
      </c>
      <c r="Q25" s="49"/>
    </row>
    <row r="26" ht="44.25" customHeight="1">
      <c r="A26" s="1">
        <v>7.0</v>
      </c>
      <c r="B26" s="1" t="s">
        <v>132</v>
      </c>
      <c r="C26" s="1">
        <v>202.0</v>
      </c>
      <c r="D26" s="51">
        <v>0.0999</v>
      </c>
      <c r="E26" s="51">
        <v>0.5251</v>
      </c>
      <c r="F26" s="51">
        <v>0.7483</v>
      </c>
      <c r="G26" s="51">
        <v>0.9006</v>
      </c>
      <c r="H26" s="51">
        <v>0.8355</v>
      </c>
      <c r="I26" s="13" t="s">
        <v>126</v>
      </c>
      <c r="J26" s="13" t="s">
        <v>126</v>
      </c>
      <c r="K26" s="13" t="s">
        <v>126</v>
      </c>
      <c r="L26" s="13" t="s">
        <v>126</v>
      </c>
      <c r="M26" s="13" t="s">
        <v>126</v>
      </c>
      <c r="N26" s="6" t="s">
        <v>126</v>
      </c>
      <c r="O26" s="39" t="s">
        <v>132</v>
      </c>
      <c r="P26" s="49" t="s">
        <v>133</v>
      </c>
      <c r="Q26" s="49"/>
    </row>
    <row r="27" ht="36.75" customHeight="1">
      <c r="A27" s="43"/>
      <c r="B27" s="43"/>
      <c r="C27" s="8"/>
      <c r="D27" s="58"/>
      <c r="E27" s="58"/>
      <c r="F27" s="58"/>
      <c r="G27" s="58"/>
      <c r="H27" s="58"/>
      <c r="I27" s="59"/>
      <c r="J27" s="59"/>
      <c r="K27" s="59"/>
      <c r="L27" s="59"/>
      <c r="M27" s="59"/>
      <c r="N27" s="60"/>
      <c r="O27" s="16"/>
      <c r="P27" s="16"/>
      <c r="Q27" s="16"/>
    </row>
    <row r="28">
      <c r="A28" s="43"/>
      <c r="B28" s="43"/>
      <c r="C28" s="8"/>
      <c r="D28" s="58"/>
      <c r="E28" s="58"/>
      <c r="F28" s="58"/>
      <c r="G28" s="58"/>
      <c r="H28" s="58"/>
      <c r="I28" s="59"/>
      <c r="J28" s="59"/>
      <c r="K28" s="59"/>
      <c r="L28" s="59"/>
      <c r="M28" s="59"/>
      <c r="N28" s="60"/>
      <c r="O28" s="16"/>
      <c r="P28" s="16"/>
      <c r="Q28" s="16"/>
    </row>
    <row r="29">
      <c r="A29" s="43"/>
      <c r="B29" s="43"/>
      <c r="C29" s="8"/>
      <c r="D29" s="58"/>
      <c r="E29" s="58"/>
      <c r="F29" s="58"/>
      <c r="G29" s="58"/>
      <c r="H29" s="58"/>
      <c r="I29" s="59"/>
      <c r="J29" s="59"/>
      <c r="K29" s="59"/>
      <c r="L29" s="59"/>
      <c r="M29" s="59"/>
      <c r="N29" s="60"/>
      <c r="O29" s="16"/>
      <c r="P29" s="16"/>
      <c r="Q29" s="16"/>
    </row>
    <row r="30">
      <c r="A30" s="43"/>
      <c r="B30" s="43"/>
      <c r="C30" s="8"/>
      <c r="D30" s="58"/>
      <c r="E30" s="58"/>
      <c r="F30" s="58"/>
      <c r="G30" s="58"/>
      <c r="H30" s="58"/>
      <c r="I30" s="59"/>
      <c r="J30" s="59"/>
      <c r="K30" s="59"/>
      <c r="L30" s="59"/>
      <c r="M30" s="59"/>
      <c r="N30" s="60"/>
      <c r="O30" s="16"/>
      <c r="P30" s="16"/>
      <c r="Q30" s="16"/>
    </row>
  </sheetData>
  <mergeCells count="4">
    <mergeCell ref="D1:H1"/>
    <mergeCell ref="I1:M1"/>
    <mergeCell ref="A7:L7"/>
    <mergeCell ref="A19:L19"/>
  </mergeCells>
  <hyperlinks>
    <hyperlink r:id="rId1" ref="N8"/>
    <hyperlink r:id="rId2" ref="O8"/>
    <hyperlink r:id="rId3" ref="N9"/>
    <hyperlink r:id="rId4" ref="O9"/>
    <hyperlink r:id="rId5" ref="N10"/>
    <hyperlink r:id="rId6" ref="O10"/>
    <hyperlink r:id="rId7" ref="N11"/>
    <hyperlink r:id="rId8" ref="O11"/>
    <hyperlink r:id="rId9" ref="N12"/>
    <hyperlink r:id="rId10" ref="O12"/>
    <hyperlink r:id="rId11" ref="N13"/>
    <hyperlink r:id="rId12" ref="O13"/>
    <hyperlink r:id="rId13" ref="N14"/>
    <hyperlink r:id="rId14" ref="O14"/>
    <hyperlink r:id="rId15" ref="N15"/>
    <hyperlink r:id="rId16" ref="O15"/>
    <hyperlink r:id="rId17" ref="N20"/>
    <hyperlink r:id="rId18" ref="O20"/>
    <hyperlink r:id="rId19" ref="N21"/>
    <hyperlink r:id="rId20" ref="O21"/>
    <hyperlink r:id="rId21" ref="N22"/>
    <hyperlink r:id="rId22" ref="O22"/>
    <hyperlink r:id="rId23" ref="O23"/>
    <hyperlink r:id="rId24" ref="O24"/>
    <hyperlink r:id="rId25" ref="O25"/>
    <hyperlink r:id="rId26" ref="O26"/>
  </hyperlinks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134</v>
      </c>
      <c r="B1" s="31" t="s">
        <v>135</v>
      </c>
      <c r="C1" s="31" t="s">
        <v>136</v>
      </c>
      <c r="D1" s="31" t="s">
        <v>137</v>
      </c>
      <c r="E1" s="31" t="s">
        <v>138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31" t="s">
        <v>139</v>
      </c>
      <c r="B2" s="31" t="s">
        <v>140</v>
      </c>
      <c r="C2" s="31">
        <v>512.0</v>
      </c>
      <c r="D2" s="31">
        <v>512.0</v>
      </c>
      <c r="E2" s="31" t="b">
        <v>0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31" t="s">
        <v>141</v>
      </c>
      <c r="C3" s="31">
        <v>640.0</v>
      </c>
      <c r="D3" s="31">
        <v>640.0</v>
      </c>
      <c r="E3" s="31" t="b">
        <v>0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31" t="s">
        <v>142</v>
      </c>
      <c r="C4" s="31">
        <v>1024.0</v>
      </c>
      <c r="D4" s="31">
        <v>1024.0</v>
      </c>
      <c r="E4" s="31" t="b">
        <v>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31" t="s">
        <v>143</v>
      </c>
      <c r="C5" s="31">
        <v>1280.0</v>
      </c>
      <c r="D5" s="31">
        <v>1280.0</v>
      </c>
      <c r="E5" s="31" t="b">
        <v>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31" t="s">
        <v>144</v>
      </c>
      <c r="C6" s="31">
        <v>1024.0</v>
      </c>
      <c r="D6" s="31">
        <v>640.0</v>
      </c>
      <c r="E6" s="31" t="b">
        <v>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31" t="s">
        <v>145</v>
      </c>
      <c r="B8" s="31" t="s">
        <v>144</v>
      </c>
      <c r="C8" s="31">
        <v>1024.0</v>
      </c>
      <c r="D8" s="31">
        <v>768.0</v>
      </c>
      <c r="E8" s="31" t="b">
        <v>1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18" max="18" width="10.25"/>
    <col customWidth="1" min="19" max="19" width="26.5"/>
    <col customWidth="1" min="20" max="20" width="20.25"/>
    <col customWidth="1" min="21" max="21" width="19.0"/>
    <col customWidth="1" min="23" max="23" width="17.5"/>
    <col customWidth="1" min="24" max="24" width="17.38"/>
  </cols>
  <sheetData>
    <row r="1">
      <c r="A1" s="1"/>
      <c r="B1" s="31" t="s">
        <v>103</v>
      </c>
      <c r="C1" s="31" t="s">
        <v>104</v>
      </c>
      <c r="D1" s="31" t="s">
        <v>105</v>
      </c>
      <c r="E1" s="31" t="s">
        <v>106</v>
      </c>
      <c r="F1" s="31" t="s">
        <v>107</v>
      </c>
      <c r="S1" s="61"/>
      <c r="T1" s="55" t="s">
        <v>103</v>
      </c>
      <c r="U1" s="55" t="s">
        <v>104</v>
      </c>
      <c r="V1" s="55" t="s">
        <v>105</v>
      </c>
      <c r="W1" s="55" t="s">
        <v>106</v>
      </c>
      <c r="X1" s="55" t="s">
        <v>107</v>
      </c>
      <c r="Y1" s="31"/>
      <c r="Z1" s="31"/>
      <c r="AA1" s="31"/>
    </row>
    <row r="2">
      <c r="A2" s="1" t="s">
        <v>146</v>
      </c>
      <c r="B2" s="31">
        <v>0.0302</v>
      </c>
      <c r="C2" s="31">
        <v>0.1227</v>
      </c>
      <c r="D2" s="62">
        <v>0.8441</v>
      </c>
      <c r="E2" s="62">
        <v>0.9698</v>
      </c>
      <c r="F2" s="62">
        <v>0.9531</v>
      </c>
      <c r="S2" s="63" t="s">
        <v>147</v>
      </c>
      <c r="T2" s="47">
        <v>0.6146</v>
      </c>
      <c r="U2" s="47">
        <v>0.7817</v>
      </c>
      <c r="V2" s="47">
        <v>0.3754</v>
      </c>
      <c r="W2" s="47">
        <v>0.3854</v>
      </c>
      <c r="X2" s="47">
        <v>0.3749</v>
      </c>
      <c r="Y2" s="62"/>
      <c r="Z2" s="62"/>
      <c r="AA2" s="62"/>
    </row>
    <row r="3">
      <c r="A3" s="1" t="s">
        <v>148</v>
      </c>
      <c r="B3" s="64">
        <v>0.0105</v>
      </c>
      <c r="C3" s="64">
        <v>0.0563</v>
      </c>
      <c r="D3" s="65">
        <v>0.9492</v>
      </c>
      <c r="E3" s="65">
        <v>0.9895</v>
      </c>
      <c r="F3" s="65">
        <v>0.9808</v>
      </c>
      <c r="S3" s="63" t="s">
        <v>149</v>
      </c>
      <c r="T3" s="51">
        <v>0.8805</v>
      </c>
      <c r="U3" s="51">
        <v>0.9896</v>
      </c>
      <c r="V3" s="51">
        <v>0.1311</v>
      </c>
      <c r="W3" s="51">
        <v>0.1195</v>
      </c>
      <c r="X3" s="51">
        <v>0.0316</v>
      </c>
      <c r="Y3" s="62"/>
      <c r="Z3" s="62"/>
      <c r="AA3" s="62"/>
    </row>
    <row r="4">
      <c r="A4" s="1" t="s">
        <v>150</v>
      </c>
      <c r="B4" s="31">
        <v>0.0694</v>
      </c>
      <c r="C4" s="31">
        <v>0.1723</v>
      </c>
      <c r="D4" s="66"/>
      <c r="E4" s="66"/>
      <c r="F4" s="66"/>
      <c r="S4" s="63"/>
      <c r="T4" s="51"/>
      <c r="U4" s="51"/>
      <c r="V4" s="51"/>
      <c r="W4" s="51"/>
      <c r="X4" s="51"/>
      <c r="Y4" s="62"/>
      <c r="Z4" s="62"/>
      <c r="AA4" s="62"/>
    </row>
    <row r="5">
      <c r="A5" s="1" t="s">
        <v>151</v>
      </c>
      <c r="B5" s="1">
        <v>0.0884</v>
      </c>
      <c r="C5" s="1">
        <v>0.2664</v>
      </c>
      <c r="D5" s="66">
        <v>0.7806</v>
      </c>
      <c r="E5" s="66">
        <v>0.9116</v>
      </c>
      <c r="F5" s="66">
        <v>0.8877</v>
      </c>
      <c r="S5" s="49" t="s">
        <v>146</v>
      </c>
      <c r="T5" s="67">
        <v>0.0302</v>
      </c>
      <c r="U5" s="67">
        <v>0.1227</v>
      </c>
      <c r="V5" s="67">
        <v>0.8441</v>
      </c>
      <c r="W5" s="67">
        <v>0.9698</v>
      </c>
      <c r="X5" s="67">
        <v>0.9531</v>
      </c>
      <c r="Y5" s="62"/>
      <c r="Z5" s="62"/>
      <c r="AA5" s="62"/>
    </row>
    <row r="6">
      <c r="A6" s="1" t="s">
        <v>152</v>
      </c>
      <c r="B6" s="1">
        <v>0.1069</v>
      </c>
      <c r="C6" s="1">
        <v>0.4514</v>
      </c>
      <c r="D6" s="66">
        <v>0.7947</v>
      </c>
      <c r="E6" s="66">
        <v>0.8951</v>
      </c>
      <c r="F6" s="66">
        <v>0.8117</v>
      </c>
      <c r="S6" s="49" t="s">
        <v>148</v>
      </c>
      <c r="T6" s="68">
        <v>0.0105</v>
      </c>
      <c r="U6" s="68">
        <v>0.0563</v>
      </c>
      <c r="V6" s="68">
        <v>0.9492</v>
      </c>
      <c r="W6" s="68">
        <v>0.9895</v>
      </c>
      <c r="X6" s="68">
        <v>0.9808</v>
      </c>
      <c r="Y6" s="65"/>
      <c r="Z6" s="65"/>
      <c r="AA6" s="65"/>
    </row>
    <row r="7">
      <c r="A7" s="1" t="s">
        <v>153</v>
      </c>
      <c r="B7" s="1">
        <v>0.0206</v>
      </c>
      <c r="C7" s="1">
        <v>0.0826</v>
      </c>
      <c r="D7" s="66">
        <v>0.9609</v>
      </c>
      <c r="E7" s="66">
        <v>0.9797</v>
      </c>
      <c r="F7" s="66">
        <v>0.9724</v>
      </c>
      <c r="S7" s="63"/>
      <c r="T7" s="51"/>
      <c r="U7" s="51"/>
      <c r="V7" s="51"/>
      <c r="W7" s="51"/>
      <c r="X7" s="51"/>
      <c r="Y7" s="66"/>
      <c r="Z7" s="66"/>
      <c r="AA7" s="66"/>
    </row>
    <row r="8">
      <c r="A8" s="1" t="s">
        <v>154</v>
      </c>
      <c r="B8" s="1">
        <v>0.0999</v>
      </c>
      <c r="C8" s="1">
        <v>0.5251</v>
      </c>
      <c r="D8" s="66">
        <v>0.7483</v>
      </c>
      <c r="E8" s="66">
        <v>0.9006</v>
      </c>
      <c r="F8" s="66">
        <v>0.8355</v>
      </c>
      <c r="S8" s="63" t="s">
        <v>151</v>
      </c>
      <c r="T8" s="51">
        <v>0.0884</v>
      </c>
      <c r="U8" s="51">
        <v>0.2664</v>
      </c>
      <c r="V8" s="51">
        <v>0.7806</v>
      </c>
      <c r="W8" s="51">
        <v>0.9116</v>
      </c>
      <c r="X8" s="51">
        <v>0.8877</v>
      </c>
      <c r="Y8" s="66"/>
      <c r="Z8" s="66"/>
      <c r="AA8" s="66"/>
    </row>
    <row r="9">
      <c r="S9" s="63" t="s">
        <v>152</v>
      </c>
      <c r="T9" s="51">
        <v>0.1069</v>
      </c>
      <c r="U9" s="51">
        <v>0.4514</v>
      </c>
      <c r="V9" s="51">
        <v>0.7947</v>
      </c>
      <c r="W9" s="51">
        <v>0.8951</v>
      </c>
      <c r="X9" s="51">
        <v>0.8117</v>
      </c>
      <c r="Y9" s="66"/>
      <c r="Z9" s="66"/>
      <c r="AA9" s="66"/>
    </row>
    <row r="10">
      <c r="S10" s="63" t="s">
        <v>153</v>
      </c>
      <c r="T10" s="51">
        <v>0.0206</v>
      </c>
      <c r="U10" s="51">
        <v>0.0826</v>
      </c>
      <c r="V10" s="51">
        <v>0.9609</v>
      </c>
      <c r="W10" s="51">
        <v>0.9797</v>
      </c>
      <c r="X10" s="51">
        <v>0.9724</v>
      </c>
      <c r="Y10" s="66"/>
      <c r="Z10" s="66"/>
      <c r="AA10" s="66"/>
    </row>
    <row r="11">
      <c r="S11" s="63" t="s">
        <v>154</v>
      </c>
      <c r="T11" s="51">
        <v>0.0999</v>
      </c>
      <c r="U11" s="51">
        <v>0.5251</v>
      </c>
      <c r="V11" s="51">
        <v>0.7483</v>
      </c>
      <c r="W11" s="51">
        <v>0.9006</v>
      </c>
      <c r="X11" s="51">
        <v>0.8355</v>
      </c>
      <c r="Y11" s="66"/>
      <c r="Z11" s="66"/>
      <c r="AA11" s="66"/>
    </row>
    <row r="41">
      <c r="A41" s="1" t="s">
        <v>147</v>
      </c>
      <c r="B41" s="31">
        <v>0.6146</v>
      </c>
      <c r="C41" s="31">
        <v>0.7817</v>
      </c>
      <c r="D41" s="62"/>
      <c r="E41" s="62"/>
      <c r="F41" s="62"/>
    </row>
    <row r="42">
      <c r="A42" s="1" t="s">
        <v>149</v>
      </c>
      <c r="B42" s="31">
        <v>0.8805</v>
      </c>
      <c r="C42" s="31">
        <v>0.9896</v>
      </c>
      <c r="D42" s="62"/>
      <c r="E42" s="62"/>
      <c r="F42" s="62"/>
    </row>
    <row r="43">
      <c r="A43" s="1" t="s">
        <v>155</v>
      </c>
      <c r="B43" s="31">
        <v>0.9611</v>
      </c>
      <c r="C43" s="31">
        <v>0.993</v>
      </c>
      <c r="D43" s="62"/>
      <c r="E43" s="62"/>
      <c r="F43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8.63"/>
    <col customWidth="1" min="3" max="3" width="19.25"/>
    <col customWidth="1" min="10" max="10" width="21.38"/>
    <col customWidth="1" min="11" max="11" width="30.0"/>
    <col customWidth="1" min="12" max="12" width="26.5"/>
    <col customWidth="1" min="13" max="13" width="33.25"/>
  </cols>
  <sheetData>
    <row r="1">
      <c r="A1" s="69" t="s">
        <v>156</v>
      </c>
      <c r="B1" s="69" t="s">
        <v>157</v>
      </c>
      <c r="C1" s="69" t="s">
        <v>158</v>
      </c>
      <c r="D1" s="69" t="s">
        <v>159</v>
      </c>
      <c r="E1" s="69" t="s">
        <v>160</v>
      </c>
      <c r="F1" s="69" t="s">
        <v>161</v>
      </c>
      <c r="G1" s="69" t="s">
        <v>154</v>
      </c>
      <c r="J1" s="69" t="s">
        <v>134</v>
      </c>
      <c r="K1" s="69" t="s">
        <v>162</v>
      </c>
      <c r="L1" s="69" t="s">
        <v>163</v>
      </c>
      <c r="M1" s="69" t="s">
        <v>164</v>
      </c>
    </row>
    <row r="2">
      <c r="A2" s="70" t="s">
        <v>162</v>
      </c>
      <c r="B2" s="70">
        <v>0.0166</v>
      </c>
      <c r="C2" s="70">
        <v>0.0465</v>
      </c>
      <c r="D2" s="70">
        <v>0.0326</v>
      </c>
      <c r="E2" s="70">
        <v>0.128</v>
      </c>
      <c r="F2" s="70">
        <v>0.1807</v>
      </c>
      <c r="G2" s="70">
        <v>0.1482</v>
      </c>
      <c r="J2" s="70" t="s">
        <v>157</v>
      </c>
      <c r="K2" s="70">
        <v>0.087</v>
      </c>
      <c r="L2" s="70">
        <v>0.0442</v>
      </c>
      <c r="M2" s="70">
        <v>0.0281</v>
      </c>
    </row>
    <row r="3">
      <c r="A3" s="70" t="s">
        <v>163</v>
      </c>
      <c r="B3" s="70">
        <v>0.0071</v>
      </c>
      <c r="C3" s="70">
        <v>0.0235</v>
      </c>
      <c r="D3" s="70">
        <v>0.013</v>
      </c>
      <c r="E3" s="70">
        <v>0.0735</v>
      </c>
      <c r="F3" s="70">
        <v>0.0762</v>
      </c>
      <c r="G3" s="70">
        <v>0.0807</v>
      </c>
      <c r="J3" s="70" t="s">
        <v>158</v>
      </c>
      <c r="K3" s="70">
        <v>0.1762</v>
      </c>
      <c r="L3" s="70">
        <v>0.0964</v>
      </c>
      <c r="M3" s="70">
        <v>0.0778</v>
      </c>
    </row>
    <row r="4">
      <c r="A4" s="70" t="s">
        <v>164</v>
      </c>
      <c r="B4" s="70">
        <v>0.0058</v>
      </c>
      <c r="C4" s="70">
        <v>0.0154</v>
      </c>
      <c r="D4" s="70">
        <v>0.0118</v>
      </c>
      <c r="E4" s="70">
        <v>0.0515</v>
      </c>
      <c r="F4" s="70">
        <v>0.0405</v>
      </c>
      <c r="G4" s="70">
        <v>0.0554</v>
      </c>
      <c r="J4" s="70" t="s">
        <v>159</v>
      </c>
      <c r="K4" s="70">
        <v>0.1586</v>
      </c>
      <c r="L4" s="70">
        <v>0.0436</v>
      </c>
      <c r="M4" s="70">
        <v>0.0201</v>
      </c>
    </row>
    <row r="5">
      <c r="J5" s="70" t="s">
        <v>160</v>
      </c>
      <c r="K5" s="70">
        <v>0.374</v>
      </c>
      <c r="L5" s="70">
        <v>0.2224</v>
      </c>
      <c r="M5" s="70">
        <v>0.1685</v>
      </c>
    </row>
    <row r="6">
      <c r="J6" s="70" t="s">
        <v>161</v>
      </c>
      <c r="K6" s="70">
        <v>0.6986</v>
      </c>
      <c r="L6" s="70">
        <v>0.3264</v>
      </c>
      <c r="M6" s="70">
        <v>0.2466</v>
      </c>
    </row>
    <row r="7">
      <c r="J7" s="70" t="s">
        <v>154</v>
      </c>
      <c r="K7" s="70">
        <v>0.6719</v>
      </c>
      <c r="L7" s="70">
        <v>0.4601</v>
      </c>
      <c r="M7" s="70">
        <v>0.396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167</v>
      </c>
      <c r="D1" s="71" t="s">
        <v>168</v>
      </c>
      <c r="E1" s="71" t="s">
        <v>169</v>
      </c>
      <c r="F1" s="71" t="s">
        <v>170</v>
      </c>
      <c r="G1" s="71" t="s">
        <v>171</v>
      </c>
      <c r="H1" s="71" t="s">
        <v>172</v>
      </c>
    </row>
    <row r="2">
      <c r="A2" s="71">
        <v>1981.0</v>
      </c>
      <c r="B2" s="71">
        <v>25.0</v>
      </c>
      <c r="C2" s="71">
        <v>0.0176</v>
      </c>
      <c r="D2" s="71">
        <v>0.0867</v>
      </c>
      <c r="E2" s="71">
        <v>0.9707</v>
      </c>
      <c r="F2" s="71">
        <v>0.9824</v>
      </c>
      <c r="G2" s="71">
        <v>0.8995</v>
      </c>
      <c r="H2" s="72">
        <v>0.9824</v>
      </c>
      <c r="K2" s="73">
        <f>SUMPRODUCT((A2:A30&gt;=1980)*(A2:A30&lt;=1989)*B2:B30*C2:C30)/SUMPRODUCT((A2:A30&gt;=1980)*(A2:A30&lt;=1989)*B2:B30)</f>
        <v>0.01659756098</v>
      </c>
    </row>
    <row r="3">
      <c r="A3" s="71">
        <v>1982.0</v>
      </c>
      <c r="B3" s="71">
        <v>6.0</v>
      </c>
      <c r="C3" s="71">
        <v>0.005</v>
      </c>
      <c r="D3" s="71">
        <v>0.0358</v>
      </c>
      <c r="E3" s="71">
        <v>0.9896</v>
      </c>
      <c r="F3" s="71">
        <v>0.995</v>
      </c>
      <c r="G3" s="71">
        <v>0.9815</v>
      </c>
      <c r="H3" s="72">
        <v>0.995</v>
      </c>
    </row>
    <row r="4">
      <c r="A4" s="71">
        <v>1983.0</v>
      </c>
      <c r="B4" s="71">
        <v>2.0</v>
      </c>
      <c r="C4" s="71">
        <v>0.0043</v>
      </c>
      <c r="D4" s="71">
        <v>0.0249</v>
      </c>
      <c r="E4" s="71">
        <v>0.9906</v>
      </c>
      <c r="F4" s="71">
        <v>0.9957</v>
      </c>
      <c r="G4" s="71">
        <v>0.9967</v>
      </c>
      <c r="H4" s="72">
        <v>0.9957</v>
      </c>
    </row>
    <row r="5">
      <c r="A5" s="71">
        <v>1984.0</v>
      </c>
      <c r="B5" s="71">
        <v>4.0</v>
      </c>
      <c r="C5" s="71">
        <v>0.0074</v>
      </c>
      <c r="D5" s="71">
        <v>0.0533</v>
      </c>
      <c r="E5" s="71">
        <v>0.9846</v>
      </c>
      <c r="F5" s="71">
        <v>0.9926</v>
      </c>
      <c r="G5" s="71">
        <v>0.9542</v>
      </c>
      <c r="H5" s="72">
        <v>0.9926</v>
      </c>
    </row>
    <row r="6">
      <c r="A6" s="71">
        <v>1985.0</v>
      </c>
      <c r="B6" s="71">
        <v>1.0</v>
      </c>
      <c r="C6" s="71">
        <v>0.0285</v>
      </c>
      <c r="D6" s="71">
        <v>0.1647</v>
      </c>
      <c r="E6" s="71">
        <v>0.9526</v>
      </c>
      <c r="F6" s="71">
        <v>0.9715</v>
      </c>
      <c r="G6" s="71">
        <v>0.8401</v>
      </c>
      <c r="H6" s="72">
        <v>0.9715</v>
      </c>
    </row>
    <row r="7">
      <c r="A7" s="71">
        <v>1986.0</v>
      </c>
      <c r="B7" s="71">
        <v>1.0</v>
      </c>
      <c r="C7" s="71">
        <v>0.0094</v>
      </c>
      <c r="D7" s="71">
        <v>0.0824</v>
      </c>
      <c r="E7" s="71">
        <v>0.9829</v>
      </c>
      <c r="F7" s="71">
        <v>0.9906</v>
      </c>
      <c r="G7" s="71">
        <v>0.9873</v>
      </c>
      <c r="H7" s="72">
        <v>0.9906</v>
      </c>
    </row>
    <row r="8">
      <c r="A8" s="71">
        <v>1987.0</v>
      </c>
      <c r="B8" s="71">
        <v>15.0</v>
      </c>
      <c r="C8" s="71">
        <v>0.0243</v>
      </c>
      <c r="D8" s="71">
        <v>0.121</v>
      </c>
      <c r="E8" s="71">
        <v>0.9574</v>
      </c>
      <c r="F8" s="71">
        <v>0.9757</v>
      </c>
      <c r="G8" s="71">
        <v>0.8752</v>
      </c>
      <c r="H8" s="72">
        <v>0.9757</v>
      </c>
    </row>
    <row r="9">
      <c r="A9" s="71">
        <v>1988.0</v>
      </c>
      <c r="B9" s="71">
        <v>26.0</v>
      </c>
      <c r="C9" s="71">
        <v>0.0159</v>
      </c>
      <c r="D9" s="71">
        <v>0.0835</v>
      </c>
      <c r="E9" s="71">
        <v>0.9735</v>
      </c>
      <c r="F9" s="71">
        <v>0.9841</v>
      </c>
      <c r="G9" s="71">
        <v>0.9131</v>
      </c>
      <c r="H9" s="72">
        <v>0.9841</v>
      </c>
    </row>
    <row r="10">
      <c r="A10" s="71">
        <v>1989.0</v>
      </c>
      <c r="B10" s="71">
        <v>2.0</v>
      </c>
      <c r="C10" s="71">
        <v>0.0185</v>
      </c>
      <c r="D10" s="71">
        <v>0.1281</v>
      </c>
      <c r="E10" s="71">
        <v>0.9659</v>
      </c>
      <c r="F10" s="71">
        <v>0.9815</v>
      </c>
      <c r="G10" s="71">
        <v>0.9119</v>
      </c>
      <c r="H10" s="72">
        <v>0.9815</v>
      </c>
    </row>
    <row r="11">
      <c r="A11" s="71">
        <v>2000.0</v>
      </c>
      <c r="B11" s="71">
        <v>11.0</v>
      </c>
      <c r="C11" s="71">
        <v>0.0055</v>
      </c>
      <c r="D11" s="71">
        <v>0.035</v>
      </c>
      <c r="E11" s="71">
        <v>0.9882</v>
      </c>
      <c r="F11" s="71">
        <v>0.9945</v>
      </c>
      <c r="G11" s="71">
        <v>0.9804</v>
      </c>
      <c r="H11" s="72">
        <v>0.9945</v>
      </c>
    </row>
    <row r="12">
      <c r="A12" s="71">
        <v>2001.0</v>
      </c>
      <c r="B12" s="71">
        <v>1.0</v>
      </c>
      <c r="C12" s="71">
        <v>0.0049</v>
      </c>
      <c r="D12" s="71">
        <v>0.0347</v>
      </c>
      <c r="E12" s="71">
        <v>0.9902</v>
      </c>
      <c r="F12" s="71">
        <v>0.9951</v>
      </c>
      <c r="G12" s="71">
        <v>0.9861</v>
      </c>
      <c r="H12" s="72">
        <v>0.9951</v>
      </c>
    </row>
    <row r="13">
      <c r="A13" s="71">
        <v>2002.0</v>
      </c>
      <c r="B13" s="71">
        <v>4.0</v>
      </c>
      <c r="C13" s="71">
        <v>0.0039</v>
      </c>
      <c r="D13" s="71">
        <v>0.0245</v>
      </c>
      <c r="E13" s="71">
        <v>0.9912</v>
      </c>
      <c r="F13" s="71">
        <v>0.9961</v>
      </c>
      <c r="G13" s="71">
        <v>0.9963</v>
      </c>
      <c r="H13" s="72">
        <v>0.9961</v>
      </c>
      <c r="K13" s="73">
        <f>SUMPRODUCT((A2:A30&gt;=2000)*(A2:A30&lt;=2009)*B2:B30*C2:C30)/SUMPRODUCT((A2:A30&gt;=2000)*(A2:A30&lt;=2009)*B2:B30)</f>
        <v>0.007135185185</v>
      </c>
    </row>
    <row r="14">
      <c r="A14" s="71">
        <v>2003.0</v>
      </c>
      <c r="B14" s="71">
        <v>3.0</v>
      </c>
      <c r="C14" s="71">
        <v>0.0064</v>
      </c>
      <c r="D14" s="71">
        <v>0.0481</v>
      </c>
      <c r="E14" s="71">
        <v>0.9865</v>
      </c>
      <c r="F14" s="71">
        <v>0.9936</v>
      </c>
      <c r="G14" s="71">
        <v>0.9713</v>
      </c>
      <c r="H14" s="72">
        <v>0.9936</v>
      </c>
    </row>
    <row r="15">
      <c r="A15" s="71">
        <v>2004.0</v>
      </c>
      <c r="B15" s="71">
        <v>5.0</v>
      </c>
      <c r="C15" s="71">
        <v>0.0033</v>
      </c>
      <c r="D15" s="71">
        <v>0.021</v>
      </c>
      <c r="E15" s="71">
        <v>0.9929</v>
      </c>
      <c r="F15" s="71">
        <v>0.9967</v>
      </c>
      <c r="G15" s="71">
        <v>0.9949</v>
      </c>
      <c r="H15" s="72">
        <v>0.9967</v>
      </c>
    </row>
    <row r="16">
      <c r="A16" s="71">
        <v>2005.0</v>
      </c>
      <c r="B16" s="71">
        <v>2.0</v>
      </c>
      <c r="C16" s="71">
        <v>0.0026</v>
      </c>
      <c r="D16" s="71">
        <v>0.0275</v>
      </c>
      <c r="E16" s="71">
        <v>0.9947</v>
      </c>
      <c r="F16" s="71">
        <v>0.9974</v>
      </c>
      <c r="G16" s="71">
        <v>0.9753</v>
      </c>
      <c r="H16" s="72">
        <v>0.9974</v>
      </c>
    </row>
    <row r="17">
      <c r="A17" s="71">
        <v>2006.0</v>
      </c>
      <c r="B17" s="71">
        <v>6.0</v>
      </c>
      <c r="C17" s="71">
        <v>0.0107</v>
      </c>
      <c r="D17" s="71">
        <v>0.0729</v>
      </c>
      <c r="E17" s="71">
        <v>0.9776</v>
      </c>
      <c r="F17" s="71">
        <v>0.9893</v>
      </c>
      <c r="G17" s="71">
        <v>0.936</v>
      </c>
      <c r="H17" s="72">
        <v>0.9893</v>
      </c>
      <c r="K17" s="73">
        <f>SUMPRODUCT((A2:A30&gt;=2010)*(A2:A30&lt;=2019)*B2:B30*C2:C30)/SUMPRODUCT((A2:A30&gt;=2010)*(A2:A30&lt;=2019)*B2:B30)</f>
        <v>0.005753030303</v>
      </c>
    </row>
    <row r="18">
      <c r="A18" s="71">
        <v>2007.0</v>
      </c>
      <c r="B18" s="71">
        <v>4.0</v>
      </c>
      <c r="C18" s="71">
        <v>0.0096</v>
      </c>
      <c r="D18" s="71">
        <v>0.0514</v>
      </c>
      <c r="E18" s="71">
        <v>0.9796</v>
      </c>
      <c r="F18" s="71">
        <v>0.9904</v>
      </c>
      <c r="G18" s="71">
        <v>0.9772</v>
      </c>
      <c r="H18" s="72">
        <v>0.9904</v>
      </c>
    </row>
    <row r="19">
      <c r="A19" s="71">
        <v>2008.0</v>
      </c>
      <c r="B19" s="71">
        <v>10.0</v>
      </c>
      <c r="C19" s="71">
        <v>0.0108</v>
      </c>
      <c r="D19" s="71">
        <v>0.0694</v>
      </c>
      <c r="E19" s="71">
        <v>0.9767</v>
      </c>
      <c r="F19" s="71">
        <v>0.9892</v>
      </c>
      <c r="G19" s="71">
        <v>0.9615</v>
      </c>
      <c r="H19" s="72">
        <v>0.9892</v>
      </c>
    </row>
    <row r="20">
      <c r="A20" s="71">
        <v>2009.0</v>
      </c>
      <c r="B20" s="71">
        <v>8.0</v>
      </c>
      <c r="C20" s="71">
        <v>0.0066</v>
      </c>
      <c r="D20" s="71">
        <v>0.0284</v>
      </c>
      <c r="E20" s="71">
        <v>0.9874</v>
      </c>
      <c r="F20" s="71">
        <v>0.9934</v>
      </c>
      <c r="G20" s="71">
        <v>0.9911</v>
      </c>
      <c r="H20" s="72">
        <v>0.9934</v>
      </c>
    </row>
    <row r="21">
      <c r="A21" s="71">
        <v>2010.0</v>
      </c>
      <c r="B21" s="71">
        <v>11.0</v>
      </c>
      <c r="C21" s="71">
        <v>0.0116</v>
      </c>
      <c r="D21" s="71">
        <v>0.0452</v>
      </c>
      <c r="E21" s="71">
        <v>0.9809</v>
      </c>
      <c r="F21" s="71">
        <v>0.9884</v>
      </c>
      <c r="G21" s="71">
        <v>0.9275</v>
      </c>
      <c r="H21" s="72">
        <v>0.9884</v>
      </c>
    </row>
    <row r="22">
      <c r="A22" s="71">
        <v>2011.0</v>
      </c>
      <c r="B22" s="71">
        <v>22.0</v>
      </c>
      <c r="C22" s="71">
        <v>0.004</v>
      </c>
      <c r="D22" s="71">
        <v>0.021</v>
      </c>
      <c r="E22" s="71">
        <v>0.9918</v>
      </c>
      <c r="F22" s="71">
        <v>0.996</v>
      </c>
      <c r="G22" s="71">
        <v>0.9929</v>
      </c>
      <c r="H22" s="72">
        <v>0.996</v>
      </c>
    </row>
    <row r="23">
      <c r="A23" s="71">
        <v>2012.0</v>
      </c>
      <c r="B23" s="71">
        <v>3.0</v>
      </c>
      <c r="C23" s="71">
        <v>0.0044</v>
      </c>
      <c r="D23" s="71">
        <v>0.0275</v>
      </c>
      <c r="E23" s="71">
        <v>0.991</v>
      </c>
      <c r="F23" s="71">
        <v>0.9956</v>
      </c>
      <c r="G23" s="71">
        <v>0.9924</v>
      </c>
      <c r="H23" s="72">
        <v>0.9956</v>
      </c>
    </row>
    <row r="24">
      <c r="A24" s="71">
        <v>2013.0</v>
      </c>
      <c r="B24" s="71">
        <v>2.0</v>
      </c>
      <c r="C24" s="71">
        <v>0.0023</v>
      </c>
      <c r="D24" s="71">
        <v>0.02</v>
      </c>
      <c r="E24" s="71">
        <v>0.9948</v>
      </c>
      <c r="F24" s="71">
        <v>0.9977</v>
      </c>
      <c r="G24" s="71">
        <v>0.995</v>
      </c>
      <c r="H24" s="72">
        <v>0.9977</v>
      </c>
    </row>
    <row r="25">
      <c r="A25" s="71">
        <v>2014.0</v>
      </c>
      <c r="B25" s="71">
        <v>2.0</v>
      </c>
      <c r="C25" s="71">
        <v>0.0041</v>
      </c>
      <c r="D25" s="71">
        <v>0.0233</v>
      </c>
      <c r="E25" s="71">
        <v>0.9903</v>
      </c>
      <c r="F25" s="71">
        <v>0.9959</v>
      </c>
      <c r="G25" s="71">
        <v>0.9952</v>
      </c>
      <c r="H25" s="72">
        <v>0.9959</v>
      </c>
    </row>
    <row r="26">
      <c r="A26" s="71">
        <v>2015.0</v>
      </c>
      <c r="B26" s="71">
        <v>4.0</v>
      </c>
      <c r="C26" s="71">
        <v>0.0028</v>
      </c>
      <c r="D26" s="71">
        <v>0.0123</v>
      </c>
      <c r="E26" s="71">
        <v>0.9948</v>
      </c>
      <c r="F26" s="71">
        <v>0.9972</v>
      </c>
      <c r="G26" s="71">
        <v>0.9949</v>
      </c>
      <c r="H26" s="72">
        <v>0.9972</v>
      </c>
    </row>
    <row r="27">
      <c r="A27" s="71">
        <v>2016.0</v>
      </c>
      <c r="B27" s="71">
        <v>1.0</v>
      </c>
      <c r="C27" s="71">
        <v>0.0017</v>
      </c>
      <c r="D27" s="71">
        <v>0.012</v>
      </c>
      <c r="E27" s="71">
        <v>0.9959</v>
      </c>
      <c r="F27" s="71">
        <v>0.9983</v>
      </c>
      <c r="G27" s="71">
        <v>0.9977</v>
      </c>
      <c r="H27" s="72">
        <v>0.9983</v>
      </c>
    </row>
    <row r="28">
      <c r="A28" s="71">
        <v>2017.0</v>
      </c>
      <c r="B28" s="71">
        <v>5.0</v>
      </c>
      <c r="C28" s="71">
        <v>0.0036</v>
      </c>
      <c r="D28" s="71">
        <v>0.0161</v>
      </c>
      <c r="E28" s="71">
        <v>0.9927</v>
      </c>
      <c r="F28" s="71">
        <v>0.9964</v>
      </c>
      <c r="G28" s="71">
        <v>0.9965</v>
      </c>
      <c r="H28" s="72">
        <v>0.9964</v>
      </c>
    </row>
    <row r="29">
      <c r="A29" s="71">
        <v>2018.0</v>
      </c>
      <c r="B29" s="71">
        <v>8.0</v>
      </c>
      <c r="C29" s="71">
        <v>0.0069</v>
      </c>
      <c r="D29" s="71">
        <v>0.0344</v>
      </c>
      <c r="E29" s="71">
        <v>0.9868</v>
      </c>
      <c r="F29" s="71">
        <v>0.9931</v>
      </c>
      <c r="G29" s="71">
        <v>0.9465</v>
      </c>
      <c r="H29" s="72">
        <v>0.9931</v>
      </c>
    </row>
    <row r="30">
      <c r="A30" s="71">
        <v>2019.0</v>
      </c>
      <c r="B30" s="71">
        <v>8.0</v>
      </c>
      <c r="C30" s="71">
        <v>0.0065</v>
      </c>
      <c r="D30" s="71">
        <v>0.0388</v>
      </c>
      <c r="E30" s="71">
        <v>0.9864</v>
      </c>
      <c r="F30" s="71">
        <v>0.9935</v>
      </c>
      <c r="G30" s="71">
        <v>0.98</v>
      </c>
      <c r="H30" s="72">
        <v>0.9935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167</v>
      </c>
      <c r="D1" s="71" t="s">
        <v>168</v>
      </c>
      <c r="E1" s="71" t="s">
        <v>169</v>
      </c>
      <c r="F1" s="71" t="s">
        <v>170</v>
      </c>
      <c r="G1" s="71" t="s">
        <v>171</v>
      </c>
      <c r="H1" s="71" t="s">
        <v>172</v>
      </c>
    </row>
    <row r="2">
      <c r="A2" s="71">
        <v>1981.0</v>
      </c>
      <c r="B2" s="71">
        <v>25.0</v>
      </c>
      <c r="C2" s="71">
        <v>0.0455</v>
      </c>
      <c r="D2" s="71">
        <v>0.1722</v>
      </c>
      <c r="E2" s="71">
        <v>0.9314</v>
      </c>
      <c r="F2" s="71">
        <v>0.9545</v>
      </c>
      <c r="G2" s="71">
        <v>0.7439</v>
      </c>
      <c r="H2" s="72">
        <v>0.9545</v>
      </c>
    </row>
    <row r="3">
      <c r="A3" s="71">
        <v>1982.0</v>
      </c>
      <c r="B3" s="71">
        <v>6.0</v>
      </c>
      <c r="C3" s="71">
        <v>0.032</v>
      </c>
      <c r="D3" s="71">
        <v>0.1457</v>
      </c>
      <c r="E3" s="71">
        <v>0.9499</v>
      </c>
      <c r="F3" s="71">
        <v>0.968</v>
      </c>
      <c r="G3" s="71">
        <v>0.803</v>
      </c>
      <c r="H3" s="72">
        <v>0.968</v>
      </c>
    </row>
    <row r="4">
      <c r="A4" s="71">
        <v>1983.0</v>
      </c>
      <c r="B4" s="71">
        <v>2.0</v>
      </c>
      <c r="C4" s="71">
        <v>0.0179</v>
      </c>
      <c r="D4" s="71">
        <v>0.1072</v>
      </c>
      <c r="E4" s="71">
        <v>0.9671</v>
      </c>
      <c r="F4" s="71">
        <v>0.9821</v>
      </c>
      <c r="G4" s="71">
        <v>0.9177</v>
      </c>
      <c r="H4" s="72">
        <v>0.9821</v>
      </c>
    </row>
    <row r="5">
      <c r="A5" s="71">
        <v>1984.0</v>
      </c>
      <c r="B5" s="71">
        <v>4.0</v>
      </c>
      <c r="C5" s="71">
        <v>0.0279</v>
      </c>
      <c r="D5" s="71">
        <v>0.1238</v>
      </c>
      <c r="E5" s="71">
        <v>0.9549</v>
      </c>
      <c r="F5" s="71">
        <v>0.9721</v>
      </c>
      <c r="G5" s="71">
        <v>0.8398</v>
      </c>
      <c r="H5" s="72">
        <v>0.9721</v>
      </c>
    </row>
    <row r="6">
      <c r="A6" s="71">
        <v>1985.0</v>
      </c>
      <c r="B6" s="71">
        <v>1.0</v>
      </c>
      <c r="C6" s="71">
        <v>0.0602</v>
      </c>
      <c r="D6" s="71">
        <v>0.2667</v>
      </c>
      <c r="E6" s="71">
        <v>0.9119</v>
      </c>
      <c r="F6" s="71">
        <v>0.9398</v>
      </c>
      <c r="G6" s="71">
        <v>0.6558</v>
      </c>
      <c r="H6" s="72">
        <v>0.9398</v>
      </c>
    </row>
    <row r="7">
      <c r="A7" s="71">
        <v>1986.0</v>
      </c>
      <c r="B7" s="71">
        <v>1.0</v>
      </c>
      <c r="C7" s="71">
        <v>0.0645</v>
      </c>
      <c r="D7" s="71">
        <v>0.2582</v>
      </c>
      <c r="E7" s="71">
        <v>0.9029</v>
      </c>
      <c r="F7" s="71">
        <v>0.9355</v>
      </c>
      <c r="G7" s="71">
        <v>0.7146</v>
      </c>
      <c r="H7" s="72">
        <v>0.9355</v>
      </c>
    </row>
    <row r="8">
      <c r="A8" s="71">
        <v>1987.0</v>
      </c>
      <c r="B8" s="71">
        <v>15.0</v>
      </c>
      <c r="C8" s="71">
        <v>0.0674</v>
      </c>
      <c r="D8" s="71">
        <v>0.223</v>
      </c>
      <c r="E8" s="71">
        <v>0.9061</v>
      </c>
      <c r="F8" s="71">
        <v>0.9326</v>
      </c>
      <c r="G8" s="71">
        <v>0.7182</v>
      </c>
      <c r="H8" s="72">
        <v>0.9326</v>
      </c>
    </row>
    <row r="9">
      <c r="A9" s="71">
        <v>1988.0</v>
      </c>
      <c r="B9" s="71">
        <v>26.0</v>
      </c>
      <c r="C9" s="71">
        <v>0.0427</v>
      </c>
      <c r="D9" s="71">
        <v>0.1635</v>
      </c>
      <c r="E9" s="71">
        <v>0.9385</v>
      </c>
      <c r="F9" s="71">
        <v>0.9573</v>
      </c>
      <c r="G9" s="71">
        <v>0.7704</v>
      </c>
      <c r="H9" s="72">
        <v>0.9573</v>
      </c>
    </row>
    <row r="10">
      <c r="A10" s="71">
        <v>1989.0</v>
      </c>
      <c r="B10" s="71">
        <v>2.0</v>
      </c>
      <c r="C10" s="71">
        <v>0.0457</v>
      </c>
      <c r="D10" s="71">
        <v>0.2184</v>
      </c>
      <c r="E10" s="71">
        <v>0.926</v>
      </c>
      <c r="F10" s="71">
        <v>0.9543</v>
      </c>
      <c r="G10" s="71">
        <v>0.7555</v>
      </c>
      <c r="H10" s="72">
        <v>0.9543</v>
      </c>
    </row>
    <row r="11">
      <c r="A11" s="71">
        <v>2000.0</v>
      </c>
      <c r="B11" s="71">
        <v>11.0</v>
      </c>
      <c r="C11" s="71">
        <v>0.0396</v>
      </c>
      <c r="D11" s="71">
        <v>0.1065</v>
      </c>
      <c r="E11" s="71">
        <v>0.9426</v>
      </c>
      <c r="F11" s="71">
        <v>0.9604</v>
      </c>
      <c r="G11" s="71">
        <v>0.8545</v>
      </c>
      <c r="H11" s="72">
        <v>0.9604</v>
      </c>
    </row>
    <row r="12">
      <c r="A12" s="71">
        <v>2001.0</v>
      </c>
      <c r="B12" s="71">
        <v>1.0</v>
      </c>
      <c r="C12" s="71">
        <v>0.0106</v>
      </c>
      <c r="D12" s="71">
        <v>0.0809</v>
      </c>
      <c r="E12" s="71">
        <v>0.9756</v>
      </c>
      <c r="F12" s="71">
        <v>0.9894</v>
      </c>
      <c r="G12" s="71">
        <v>0.9252</v>
      </c>
      <c r="H12" s="72">
        <v>0.9894</v>
      </c>
    </row>
    <row r="13">
      <c r="A13" s="71">
        <v>2002.0</v>
      </c>
      <c r="B13" s="71">
        <v>4.0</v>
      </c>
      <c r="C13" s="71">
        <v>0.0111</v>
      </c>
      <c r="D13" s="71">
        <v>0.0566</v>
      </c>
      <c r="E13" s="71">
        <v>0.9785</v>
      </c>
      <c r="F13" s="71">
        <v>0.9889</v>
      </c>
      <c r="G13" s="71">
        <v>0.956</v>
      </c>
      <c r="H13" s="72">
        <v>0.9889</v>
      </c>
    </row>
    <row r="14">
      <c r="A14" s="71">
        <v>2003.0</v>
      </c>
      <c r="B14" s="71">
        <v>3.0</v>
      </c>
      <c r="C14" s="71">
        <v>0.0383</v>
      </c>
      <c r="D14" s="71">
        <v>0.1589</v>
      </c>
      <c r="E14" s="71">
        <v>0.9414</v>
      </c>
      <c r="F14" s="71">
        <v>0.9617</v>
      </c>
      <c r="G14" s="71">
        <v>0.7746</v>
      </c>
      <c r="H14" s="72">
        <v>0.9617</v>
      </c>
    </row>
    <row r="15">
      <c r="A15" s="71">
        <v>2004.0</v>
      </c>
      <c r="B15" s="71">
        <v>5.0</v>
      </c>
      <c r="C15" s="71">
        <v>0.0118</v>
      </c>
      <c r="D15" s="71">
        <v>0.0684</v>
      </c>
      <c r="E15" s="71">
        <v>0.9767</v>
      </c>
      <c r="F15" s="71">
        <v>0.9882</v>
      </c>
      <c r="G15" s="71">
        <v>0.9499</v>
      </c>
      <c r="H15" s="72">
        <v>0.9882</v>
      </c>
    </row>
    <row r="16">
      <c r="A16" s="71">
        <v>2005.0</v>
      </c>
      <c r="B16" s="71">
        <v>2.0</v>
      </c>
      <c r="C16" s="71">
        <v>0.0081</v>
      </c>
      <c r="D16" s="71">
        <v>0.0671</v>
      </c>
      <c r="E16" s="71">
        <v>0.9835</v>
      </c>
      <c r="F16" s="71">
        <v>0.9919</v>
      </c>
      <c r="G16" s="71">
        <v>0.9595</v>
      </c>
      <c r="H16" s="72">
        <v>0.9919</v>
      </c>
    </row>
    <row r="17">
      <c r="A17" s="71">
        <v>2006.0</v>
      </c>
      <c r="B17" s="71">
        <v>6.0</v>
      </c>
      <c r="C17" s="71">
        <v>0.0229</v>
      </c>
      <c r="D17" s="71">
        <v>0.1086</v>
      </c>
      <c r="E17" s="71">
        <v>0.9617</v>
      </c>
      <c r="F17" s="71">
        <v>0.9771</v>
      </c>
      <c r="G17" s="71">
        <v>0.8619</v>
      </c>
      <c r="H17" s="72">
        <v>0.9771</v>
      </c>
    </row>
    <row r="18">
      <c r="A18" s="71">
        <v>2007.0</v>
      </c>
      <c r="B18" s="71">
        <v>4.0</v>
      </c>
      <c r="C18" s="71">
        <v>0.0196</v>
      </c>
      <c r="D18" s="71">
        <v>0.0935</v>
      </c>
      <c r="E18" s="71">
        <v>0.9622</v>
      </c>
      <c r="F18" s="71">
        <v>0.9804</v>
      </c>
      <c r="G18" s="71">
        <v>0.9064</v>
      </c>
      <c r="H18" s="72">
        <v>0.9804</v>
      </c>
    </row>
    <row r="19">
      <c r="A19" s="71">
        <v>2008.0</v>
      </c>
      <c r="B19" s="71">
        <v>10.0</v>
      </c>
      <c r="C19" s="71">
        <v>0.0257</v>
      </c>
      <c r="D19" s="71">
        <v>0.131</v>
      </c>
      <c r="E19" s="71">
        <v>0.9547</v>
      </c>
      <c r="F19" s="71">
        <v>0.9743</v>
      </c>
      <c r="G19" s="71">
        <v>0.8748</v>
      </c>
      <c r="H19" s="72">
        <v>0.9743</v>
      </c>
    </row>
    <row r="20">
      <c r="A20" s="71">
        <v>2009.0</v>
      </c>
      <c r="B20" s="71">
        <v>8.0</v>
      </c>
      <c r="C20" s="71">
        <v>0.0144</v>
      </c>
      <c r="D20" s="71">
        <v>0.0551</v>
      </c>
      <c r="E20" s="71">
        <v>0.9764</v>
      </c>
      <c r="F20" s="71">
        <v>0.9856</v>
      </c>
      <c r="G20" s="71">
        <v>0.9398</v>
      </c>
      <c r="H20" s="72">
        <v>0.9856</v>
      </c>
    </row>
    <row r="21">
      <c r="A21" s="71">
        <v>2010.0</v>
      </c>
      <c r="B21" s="71">
        <v>11.0</v>
      </c>
      <c r="C21" s="71">
        <v>0.0187</v>
      </c>
      <c r="D21" s="71">
        <v>0.0795</v>
      </c>
      <c r="E21" s="71">
        <v>0.9705</v>
      </c>
      <c r="F21" s="71">
        <v>0.9813</v>
      </c>
      <c r="G21" s="71">
        <v>0.8502</v>
      </c>
      <c r="H21" s="72">
        <v>0.9813</v>
      </c>
    </row>
    <row r="22">
      <c r="A22" s="71">
        <v>2011.0</v>
      </c>
      <c r="B22" s="71">
        <v>22.0</v>
      </c>
      <c r="C22" s="71">
        <v>0.012</v>
      </c>
      <c r="D22" s="71">
        <v>0.0733</v>
      </c>
      <c r="E22" s="71">
        <v>0.9763</v>
      </c>
      <c r="F22" s="71">
        <v>0.988</v>
      </c>
      <c r="G22" s="71">
        <v>0.9487</v>
      </c>
      <c r="H22" s="72">
        <v>0.988</v>
      </c>
    </row>
    <row r="23">
      <c r="A23" s="71">
        <v>2012.0</v>
      </c>
      <c r="B23" s="71">
        <v>3.0</v>
      </c>
      <c r="C23" s="71">
        <v>0.0149</v>
      </c>
      <c r="D23" s="71">
        <v>0.069</v>
      </c>
      <c r="E23" s="71">
        <v>0.9738</v>
      </c>
      <c r="F23" s="71">
        <v>0.9851</v>
      </c>
      <c r="G23" s="71">
        <v>0.9274</v>
      </c>
      <c r="H23" s="72">
        <v>0.9851</v>
      </c>
    </row>
    <row r="24">
      <c r="A24" s="71">
        <v>2013.0</v>
      </c>
      <c r="B24" s="71">
        <v>2.0</v>
      </c>
      <c r="C24" s="71">
        <v>0.0215</v>
      </c>
      <c r="D24" s="71">
        <v>0.0798</v>
      </c>
      <c r="E24" s="71">
        <v>0.9631</v>
      </c>
      <c r="F24" s="71">
        <v>0.9785</v>
      </c>
      <c r="G24" s="71">
        <v>0.9153</v>
      </c>
      <c r="H24" s="72">
        <v>0.9785</v>
      </c>
    </row>
    <row r="25">
      <c r="A25" s="71">
        <v>2014.0</v>
      </c>
      <c r="B25" s="71">
        <v>2.0</v>
      </c>
      <c r="C25" s="71">
        <v>0.0112</v>
      </c>
      <c r="D25" s="71">
        <v>0.0539</v>
      </c>
      <c r="E25" s="71">
        <v>0.9781</v>
      </c>
      <c r="F25" s="71">
        <v>0.9888</v>
      </c>
      <c r="G25" s="71">
        <v>0.9415</v>
      </c>
      <c r="H25" s="72">
        <v>0.9888</v>
      </c>
    </row>
    <row r="26">
      <c r="A26" s="71">
        <v>2015.0</v>
      </c>
      <c r="B26" s="71">
        <v>4.0</v>
      </c>
      <c r="C26" s="71">
        <v>0.0196</v>
      </c>
      <c r="D26" s="71">
        <v>0.0719</v>
      </c>
      <c r="E26" s="71">
        <v>0.9708</v>
      </c>
      <c r="F26" s="71">
        <v>0.9804</v>
      </c>
      <c r="G26" s="71">
        <v>0.8584</v>
      </c>
      <c r="H26" s="72">
        <v>0.9804</v>
      </c>
    </row>
    <row r="27">
      <c r="A27" s="71">
        <v>2016.0</v>
      </c>
      <c r="B27" s="71">
        <v>1.0</v>
      </c>
      <c r="C27" s="71">
        <v>0.0091</v>
      </c>
      <c r="D27" s="71">
        <v>0.0599</v>
      </c>
      <c r="E27" s="71">
        <v>0.9821</v>
      </c>
      <c r="F27" s="71">
        <v>0.9909</v>
      </c>
      <c r="G27" s="71">
        <v>0.9084</v>
      </c>
      <c r="H27" s="72">
        <v>0.9909</v>
      </c>
    </row>
    <row r="28">
      <c r="A28" s="71">
        <v>2017.0</v>
      </c>
      <c r="B28" s="71">
        <v>5.0</v>
      </c>
      <c r="C28" s="71">
        <v>0.016</v>
      </c>
      <c r="D28" s="71">
        <v>0.0743</v>
      </c>
      <c r="E28" s="71">
        <v>0.9724</v>
      </c>
      <c r="F28" s="71">
        <v>0.984</v>
      </c>
      <c r="G28" s="71">
        <v>0.8964</v>
      </c>
      <c r="H28" s="72">
        <v>0.984</v>
      </c>
    </row>
    <row r="29">
      <c r="A29" s="71">
        <v>2018.0</v>
      </c>
      <c r="B29" s="71">
        <v>8.0</v>
      </c>
      <c r="C29" s="71">
        <v>0.0128</v>
      </c>
      <c r="D29" s="71">
        <v>0.0597</v>
      </c>
      <c r="E29" s="71">
        <v>0.9778</v>
      </c>
      <c r="F29" s="71">
        <v>0.9872</v>
      </c>
      <c r="G29" s="71">
        <v>0.8949</v>
      </c>
      <c r="H29" s="72">
        <v>0.9872</v>
      </c>
    </row>
    <row r="30">
      <c r="A30" s="71">
        <v>2019.0</v>
      </c>
      <c r="B30" s="71">
        <v>8.0</v>
      </c>
      <c r="C30" s="71">
        <v>0.0208</v>
      </c>
      <c r="D30" s="71">
        <v>0.1224</v>
      </c>
      <c r="E30" s="71">
        <v>0.9646</v>
      </c>
      <c r="F30" s="71">
        <v>0.9792</v>
      </c>
      <c r="G30" s="71">
        <v>0.9127</v>
      </c>
      <c r="H30" s="72">
        <v>0.9792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103</v>
      </c>
      <c r="D1" s="71" t="s">
        <v>104</v>
      </c>
      <c r="E1" s="71" t="s">
        <v>107</v>
      </c>
      <c r="F1" s="71" t="s">
        <v>106</v>
      </c>
      <c r="G1" s="71" t="s">
        <v>105</v>
      </c>
      <c r="H1" s="71" t="s">
        <v>172</v>
      </c>
    </row>
    <row r="2">
      <c r="A2" s="71">
        <v>1981.0</v>
      </c>
      <c r="B2" s="71">
        <v>25.0</v>
      </c>
      <c r="C2" s="71">
        <v>0.0295</v>
      </c>
      <c r="D2" s="71">
        <v>0.1509</v>
      </c>
      <c r="E2" s="71">
        <v>0.9586</v>
      </c>
      <c r="F2" s="71">
        <v>0.971</v>
      </c>
      <c r="G2" s="71">
        <v>0.9215</v>
      </c>
      <c r="H2" s="72">
        <v>0.9705</v>
      </c>
    </row>
    <row r="3">
      <c r="A3" s="71">
        <v>1982.0</v>
      </c>
      <c r="B3" s="71">
        <v>6.0</v>
      </c>
      <c r="C3" s="71">
        <v>0.0298</v>
      </c>
      <c r="D3" s="71">
        <v>0.1347</v>
      </c>
      <c r="E3" s="71">
        <v>0.9667</v>
      </c>
      <c r="F3" s="71">
        <v>0.9707</v>
      </c>
      <c r="G3" s="71">
        <v>0.9684</v>
      </c>
      <c r="H3" s="72">
        <v>0.9702</v>
      </c>
    </row>
    <row r="4">
      <c r="A4" s="71">
        <v>1983.0</v>
      </c>
      <c r="B4" s="71">
        <v>2.0</v>
      </c>
      <c r="C4" s="71">
        <v>0.0235</v>
      </c>
      <c r="D4" s="71">
        <v>0.0978</v>
      </c>
      <c r="E4" s="71">
        <v>0.9664</v>
      </c>
      <c r="F4" s="71">
        <v>0.9767</v>
      </c>
      <c r="G4" s="71">
        <v>0.9738</v>
      </c>
      <c r="H4" s="72">
        <v>0.9765</v>
      </c>
      <c r="J4" s="74">
        <f>SUMPRODUCT((A2:A30&gt;=1980)*(A2:A30&lt;=1989)*B2:B30*C2:C30)/SUMPRODUCT((A2:A30&gt;=1980)*(A2:A30&lt;=1989)*B2:B30)</f>
        <v>0.03261707317</v>
      </c>
    </row>
    <row r="5">
      <c r="A5" s="71">
        <v>1984.0</v>
      </c>
      <c r="B5" s="71">
        <v>4.0</v>
      </c>
      <c r="C5" s="71">
        <v>0.0279</v>
      </c>
      <c r="D5" s="71">
        <v>0.141</v>
      </c>
      <c r="E5" s="71">
        <v>0.9616</v>
      </c>
      <c r="F5" s="71">
        <v>0.9726</v>
      </c>
      <c r="G5" s="71">
        <v>0.9488</v>
      </c>
      <c r="H5" s="72">
        <v>0.9721</v>
      </c>
    </row>
    <row r="6">
      <c r="A6" s="71">
        <v>1985.0</v>
      </c>
      <c r="B6" s="71">
        <v>1.0</v>
      </c>
      <c r="C6" s="71">
        <v>0.0333</v>
      </c>
      <c r="D6" s="71">
        <v>0.2667</v>
      </c>
      <c r="E6" s="71">
        <v>0.9433</v>
      </c>
      <c r="F6" s="71">
        <v>0.9672</v>
      </c>
      <c r="G6" s="71">
        <v>0.8388</v>
      </c>
      <c r="H6" s="72">
        <v>0.9667</v>
      </c>
    </row>
    <row r="7">
      <c r="A7" s="71">
        <v>1986.0</v>
      </c>
      <c r="B7" s="71">
        <v>1.0</v>
      </c>
      <c r="C7" s="71">
        <v>0.0448</v>
      </c>
      <c r="D7" s="71">
        <v>0.2582</v>
      </c>
      <c r="E7" s="71">
        <v>0.926</v>
      </c>
      <c r="F7" s="71">
        <v>0.9566</v>
      </c>
      <c r="G7" s="71">
        <v>0.9631</v>
      </c>
      <c r="H7" s="72">
        <v>0.9552</v>
      </c>
    </row>
    <row r="8">
      <c r="A8" s="71">
        <v>1987.0</v>
      </c>
      <c r="B8" s="71">
        <v>15.0</v>
      </c>
      <c r="C8" s="71">
        <v>0.0386</v>
      </c>
      <c r="D8" s="71">
        <v>0.1643</v>
      </c>
      <c r="E8" s="71">
        <v>0.9483</v>
      </c>
      <c r="F8" s="71">
        <v>0.962</v>
      </c>
      <c r="G8" s="71">
        <v>0.8933</v>
      </c>
      <c r="H8" s="72">
        <v>0.9614</v>
      </c>
    </row>
    <row r="9">
      <c r="A9" s="71">
        <v>1988.0</v>
      </c>
      <c r="B9" s="71">
        <v>26.0</v>
      </c>
      <c r="C9" s="71">
        <v>0.0337</v>
      </c>
      <c r="D9" s="71">
        <v>0.1668</v>
      </c>
      <c r="E9" s="71">
        <v>0.9571</v>
      </c>
      <c r="F9" s="71">
        <v>0.9669</v>
      </c>
      <c r="G9" s="71">
        <v>0.9235</v>
      </c>
      <c r="H9" s="72">
        <v>0.9663</v>
      </c>
    </row>
    <row r="10">
      <c r="A10" s="71">
        <v>1989.0</v>
      </c>
      <c r="B10" s="71">
        <v>2.0</v>
      </c>
      <c r="C10" s="71">
        <v>0.0332</v>
      </c>
      <c r="D10" s="71">
        <v>0.1681</v>
      </c>
      <c r="E10" s="71">
        <v>0.9539</v>
      </c>
      <c r="F10" s="71">
        <v>0.967</v>
      </c>
      <c r="G10" s="71">
        <v>0.9207</v>
      </c>
      <c r="H10" s="72">
        <v>0.9668</v>
      </c>
    </row>
    <row r="11">
      <c r="A11" s="71">
        <v>2000.0</v>
      </c>
      <c r="B11" s="71">
        <v>11.0</v>
      </c>
      <c r="C11" s="71">
        <v>0.0153</v>
      </c>
      <c r="D11" s="71">
        <v>0.0481</v>
      </c>
      <c r="E11" s="71">
        <v>0.9808</v>
      </c>
      <c r="F11" s="71">
        <v>0.9848</v>
      </c>
      <c r="G11" s="71">
        <v>0.9701</v>
      </c>
      <c r="H11" s="72">
        <v>0.9847</v>
      </c>
    </row>
    <row r="12">
      <c r="A12" s="71">
        <v>2001.0</v>
      </c>
      <c r="B12" s="71">
        <v>1.0</v>
      </c>
      <c r="C12" s="71">
        <v>0.0098</v>
      </c>
      <c r="D12" s="71">
        <v>0.052</v>
      </c>
      <c r="E12" s="71">
        <v>0.9843</v>
      </c>
      <c r="F12" s="71">
        <v>0.9902</v>
      </c>
      <c r="G12" s="71">
        <v>0.9649</v>
      </c>
      <c r="H12" s="72">
        <v>0.9902</v>
      </c>
    </row>
    <row r="13">
      <c r="A13" s="71">
        <v>2002.0</v>
      </c>
      <c r="B13" s="71">
        <v>4.0</v>
      </c>
      <c r="C13" s="71">
        <v>0.0104</v>
      </c>
      <c r="D13" s="71">
        <v>0.0439</v>
      </c>
      <c r="E13" s="71">
        <v>0.9847</v>
      </c>
      <c r="F13" s="71">
        <v>0.9897</v>
      </c>
      <c r="G13" s="71">
        <v>0.9755</v>
      </c>
      <c r="H13" s="72">
        <v>0.9896</v>
      </c>
    </row>
    <row r="14">
      <c r="A14" s="71">
        <v>2003.0</v>
      </c>
      <c r="B14" s="71">
        <v>3.0</v>
      </c>
      <c r="C14" s="71">
        <v>0.0176</v>
      </c>
      <c r="D14" s="71">
        <v>0.0745</v>
      </c>
      <c r="E14" s="71">
        <v>0.9754</v>
      </c>
      <c r="F14" s="71">
        <v>0.9825</v>
      </c>
      <c r="G14" s="71">
        <v>0.9584</v>
      </c>
      <c r="H14" s="72">
        <v>0.9824</v>
      </c>
    </row>
    <row r="15">
      <c r="A15" s="71">
        <v>2004.0</v>
      </c>
      <c r="B15" s="71">
        <v>5.0</v>
      </c>
      <c r="C15" s="71">
        <v>0.0095</v>
      </c>
      <c r="D15" s="71">
        <v>0.0132</v>
      </c>
      <c r="E15" s="71">
        <v>0.987</v>
      </c>
      <c r="F15" s="71">
        <v>0.9906</v>
      </c>
      <c r="G15" s="71">
        <v>0.9897</v>
      </c>
      <c r="H15" s="72">
        <v>0.9905</v>
      </c>
    </row>
    <row r="16">
      <c r="A16" s="71">
        <v>2005.0</v>
      </c>
      <c r="B16" s="71">
        <v>2.0</v>
      </c>
      <c r="C16" s="71">
        <v>0.0072</v>
      </c>
      <c r="D16" s="71">
        <v>0.0303</v>
      </c>
      <c r="E16" s="71">
        <v>0.9892</v>
      </c>
      <c r="F16" s="71">
        <v>0.9928</v>
      </c>
      <c r="G16" s="71">
        <v>0.9911</v>
      </c>
      <c r="H16" s="72">
        <v>0.9928</v>
      </c>
    </row>
    <row r="17">
      <c r="A17" s="71">
        <v>2006.0</v>
      </c>
      <c r="B17" s="71">
        <v>6.0</v>
      </c>
      <c r="C17" s="71">
        <v>0.0139</v>
      </c>
      <c r="D17" s="71">
        <v>0.0678</v>
      </c>
      <c r="E17" s="71">
        <v>0.9781</v>
      </c>
      <c r="F17" s="71">
        <v>0.9862</v>
      </c>
      <c r="G17" s="71">
        <v>0.9817</v>
      </c>
      <c r="H17" s="72">
        <v>0.9861</v>
      </c>
    </row>
    <row r="18">
      <c r="A18" s="71">
        <v>2007.0</v>
      </c>
      <c r="B18" s="71">
        <v>4.0</v>
      </c>
      <c r="C18" s="71">
        <v>0.0113</v>
      </c>
      <c r="D18" s="71">
        <v>0.0199</v>
      </c>
      <c r="E18" s="71">
        <v>0.9833</v>
      </c>
      <c r="F18" s="71">
        <v>0.9888</v>
      </c>
      <c r="G18" s="71">
        <v>0.9982</v>
      </c>
      <c r="H18" s="72">
        <v>0.9887</v>
      </c>
    </row>
    <row r="19">
      <c r="A19" s="71">
        <v>2008.0</v>
      </c>
      <c r="B19" s="71">
        <v>10.0</v>
      </c>
      <c r="C19" s="71">
        <v>0.0164</v>
      </c>
      <c r="D19" s="71">
        <v>0.0634</v>
      </c>
      <c r="E19" s="71">
        <v>0.9764</v>
      </c>
      <c r="F19" s="71">
        <v>0.9838</v>
      </c>
      <c r="G19" s="71">
        <v>0.9702</v>
      </c>
      <c r="H19" s="72">
        <v>0.9836</v>
      </c>
    </row>
    <row r="20">
      <c r="A20" s="71">
        <v>2009.0</v>
      </c>
      <c r="B20" s="71">
        <v>8.0</v>
      </c>
      <c r="C20" s="71">
        <v>0.0095</v>
      </c>
      <c r="D20" s="71">
        <v>0.016</v>
      </c>
      <c r="E20" s="71">
        <v>0.9866</v>
      </c>
      <c r="F20" s="71">
        <v>0.9905</v>
      </c>
      <c r="G20" s="71">
        <v>0.9928</v>
      </c>
      <c r="H20" s="72">
        <v>0.9905</v>
      </c>
    </row>
    <row r="21">
      <c r="A21" s="71">
        <v>2010.0</v>
      </c>
      <c r="B21" s="71">
        <v>11.0</v>
      </c>
      <c r="C21" s="71">
        <v>0.0094</v>
      </c>
      <c r="D21" s="71">
        <v>0.0187</v>
      </c>
      <c r="E21" s="71">
        <v>0.9863</v>
      </c>
      <c r="F21" s="71">
        <v>0.9906</v>
      </c>
      <c r="G21" s="71">
        <v>0.9936</v>
      </c>
      <c r="H21" s="72">
        <v>0.9906</v>
      </c>
    </row>
    <row r="22">
      <c r="A22" s="71">
        <v>2011.0</v>
      </c>
      <c r="B22" s="71">
        <v>22.0</v>
      </c>
      <c r="C22" s="71">
        <v>0.0128</v>
      </c>
      <c r="D22" s="71">
        <v>0.0161</v>
      </c>
      <c r="E22" s="71">
        <v>0.9845</v>
      </c>
      <c r="F22" s="71">
        <v>0.9874</v>
      </c>
      <c r="G22" s="71">
        <v>0.9935</v>
      </c>
      <c r="H22" s="72">
        <v>0.9872</v>
      </c>
    </row>
    <row r="23">
      <c r="A23" s="71">
        <v>2012.0</v>
      </c>
      <c r="B23" s="71">
        <v>3.0</v>
      </c>
      <c r="C23" s="71">
        <v>0.013</v>
      </c>
      <c r="D23" s="71">
        <v>0.0252</v>
      </c>
      <c r="E23" s="71">
        <v>0.9821</v>
      </c>
      <c r="F23" s="71">
        <v>0.9871</v>
      </c>
      <c r="G23" s="71">
        <v>0.9954</v>
      </c>
      <c r="H23" s="72">
        <v>0.987</v>
      </c>
    </row>
    <row r="24">
      <c r="A24" s="71">
        <v>2013.0</v>
      </c>
      <c r="B24" s="71">
        <v>2.0</v>
      </c>
      <c r="C24" s="71">
        <v>0.0122</v>
      </c>
      <c r="D24" s="71">
        <v>0.0236</v>
      </c>
      <c r="E24" s="71">
        <v>0.9826</v>
      </c>
      <c r="F24" s="71">
        <v>0.9879</v>
      </c>
      <c r="G24" s="71">
        <v>0.9913</v>
      </c>
      <c r="H24" s="72">
        <v>0.9878</v>
      </c>
    </row>
    <row r="25">
      <c r="A25" s="71">
        <v>2014.0</v>
      </c>
      <c r="B25" s="71">
        <v>2.0</v>
      </c>
      <c r="C25" s="71">
        <v>0.0113</v>
      </c>
      <c r="D25" s="71">
        <v>0.0253</v>
      </c>
      <c r="E25" s="71">
        <v>0.9871</v>
      </c>
      <c r="F25" s="71">
        <v>0.9888</v>
      </c>
      <c r="G25" s="71">
        <v>0.9972</v>
      </c>
      <c r="H25" s="72">
        <v>0.9887</v>
      </c>
    </row>
    <row r="26">
      <c r="A26" s="71">
        <v>2015.0</v>
      </c>
      <c r="B26" s="71">
        <v>4.0</v>
      </c>
      <c r="C26" s="71">
        <v>0.0086</v>
      </c>
      <c r="D26" s="71">
        <v>0.0125</v>
      </c>
      <c r="E26" s="71">
        <v>0.9885</v>
      </c>
      <c r="F26" s="71">
        <v>0.9915</v>
      </c>
      <c r="G26" s="71">
        <v>0.9957</v>
      </c>
      <c r="H26" s="72">
        <v>0.9914</v>
      </c>
    </row>
    <row r="27">
      <c r="A27" s="71">
        <v>2016.0</v>
      </c>
      <c r="B27" s="71">
        <v>1.0</v>
      </c>
      <c r="C27" s="71">
        <v>0.0091</v>
      </c>
      <c r="D27" s="71">
        <v>0.012</v>
      </c>
      <c r="E27" s="71">
        <v>0.987</v>
      </c>
      <c r="F27" s="71">
        <v>0.991</v>
      </c>
      <c r="G27" s="71">
        <v>0.996</v>
      </c>
      <c r="H27" s="72">
        <v>0.9909</v>
      </c>
    </row>
    <row r="28">
      <c r="A28" s="71">
        <v>2017.0</v>
      </c>
      <c r="B28" s="71">
        <v>5.0</v>
      </c>
      <c r="C28" s="71">
        <v>0.0109</v>
      </c>
      <c r="D28" s="71">
        <v>0.0205</v>
      </c>
      <c r="E28" s="71">
        <v>0.9842</v>
      </c>
      <c r="F28" s="71">
        <v>0.9892</v>
      </c>
      <c r="G28" s="71">
        <v>0.9928</v>
      </c>
      <c r="H28" s="72">
        <v>0.9891</v>
      </c>
    </row>
    <row r="29">
      <c r="A29" s="71">
        <v>2018.0</v>
      </c>
      <c r="B29" s="71">
        <v>8.0</v>
      </c>
      <c r="C29" s="71">
        <v>0.0092</v>
      </c>
      <c r="D29" s="71">
        <v>0.016</v>
      </c>
      <c r="E29" s="71">
        <v>0.9871</v>
      </c>
      <c r="F29" s="71">
        <v>0.9909</v>
      </c>
      <c r="G29" s="71">
        <v>0.9947</v>
      </c>
      <c r="H29" s="72">
        <v>0.9908</v>
      </c>
    </row>
    <row r="30">
      <c r="A30" s="71">
        <v>2019.0</v>
      </c>
      <c r="B30" s="71">
        <v>8.0</v>
      </c>
      <c r="C30" s="71">
        <v>0.0167</v>
      </c>
      <c r="D30" s="71">
        <v>0.0376</v>
      </c>
      <c r="E30" s="71">
        <v>0.9797</v>
      </c>
      <c r="F30" s="71">
        <v>0.9835</v>
      </c>
      <c r="G30" s="71">
        <v>0.9924</v>
      </c>
      <c r="H30" s="72">
        <v>0.9833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167</v>
      </c>
      <c r="D1" s="71" t="s">
        <v>168</v>
      </c>
      <c r="E1" s="71" t="s">
        <v>169</v>
      </c>
      <c r="F1" s="71" t="s">
        <v>170</v>
      </c>
      <c r="G1" s="71" t="s">
        <v>171</v>
      </c>
      <c r="H1" s="71" t="s">
        <v>172</v>
      </c>
    </row>
    <row r="2">
      <c r="A2" s="71">
        <v>1981.0</v>
      </c>
      <c r="B2" s="71">
        <v>25.0</v>
      </c>
      <c r="C2" s="71">
        <v>0.1436</v>
      </c>
      <c r="D2" s="71">
        <v>0.3851</v>
      </c>
      <c r="E2" s="71">
        <v>0.8285</v>
      </c>
      <c r="F2" s="71">
        <v>0.8564</v>
      </c>
      <c r="G2" s="71">
        <v>0.6617</v>
      </c>
      <c r="H2" s="72">
        <v>0.8564</v>
      </c>
    </row>
    <row r="3">
      <c r="A3" s="71">
        <v>1982.0</v>
      </c>
      <c r="B3" s="71">
        <v>6.0</v>
      </c>
      <c r="C3" s="71">
        <v>0.1152</v>
      </c>
      <c r="D3" s="71">
        <v>0.3363</v>
      </c>
      <c r="E3" s="71">
        <v>0.8566</v>
      </c>
      <c r="F3" s="71">
        <v>0.8848</v>
      </c>
      <c r="G3" s="71">
        <v>0.6671</v>
      </c>
      <c r="H3" s="72">
        <v>0.8848</v>
      </c>
    </row>
    <row r="4">
      <c r="A4" s="71">
        <v>1983.0</v>
      </c>
      <c r="B4" s="71">
        <v>2.0</v>
      </c>
      <c r="C4" s="71">
        <v>0.1108</v>
      </c>
      <c r="D4" s="71">
        <v>0.3094</v>
      </c>
      <c r="E4" s="71">
        <v>0.8469</v>
      </c>
      <c r="F4" s="71">
        <v>0.8892</v>
      </c>
      <c r="G4" s="71">
        <v>0.7413</v>
      </c>
      <c r="H4" s="72">
        <v>0.8892</v>
      </c>
    </row>
    <row r="5">
      <c r="A5" s="71">
        <v>1984.0</v>
      </c>
      <c r="B5" s="71">
        <v>4.0</v>
      </c>
      <c r="C5" s="71">
        <v>0.1225</v>
      </c>
      <c r="D5" s="71">
        <v>0.3409</v>
      </c>
      <c r="E5" s="71">
        <v>0.8547</v>
      </c>
      <c r="F5" s="71">
        <v>0.8775</v>
      </c>
      <c r="G5" s="71">
        <v>0.6946</v>
      </c>
      <c r="H5" s="72">
        <v>0.8775</v>
      </c>
    </row>
    <row r="6">
      <c r="A6" s="71">
        <v>1985.0</v>
      </c>
      <c r="B6" s="71">
        <v>1.0</v>
      </c>
      <c r="C6" s="71">
        <v>0.1574</v>
      </c>
      <c r="D6" s="71">
        <v>0.5451</v>
      </c>
      <c r="E6" s="71">
        <v>0.7973</v>
      </c>
      <c r="F6" s="71">
        <v>0.8426</v>
      </c>
      <c r="G6" s="71">
        <v>0.6227</v>
      </c>
      <c r="H6" s="72">
        <v>0.8426</v>
      </c>
    </row>
    <row r="7">
      <c r="A7" s="71">
        <v>1986.0</v>
      </c>
      <c r="B7" s="71">
        <v>1.0</v>
      </c>
      <c r="C7" s="71">
        <v>0.1873</v>
      </c>
      <c r="D7" s="71">
        <v>0.489</v>
      </c>
      <c r="E7" s="71">
        <v>0.7685</v>
      </c>
      <c r="F7" s="71">
        <v>0.8127</v>
      </c>
      <c r="G7" s="71">
        <v>0.6175</v>
      </c>
      <c r="H7" s="72">
        <v>0.8127</v>
      </c>
    </row>
    <row r="8">
      <c r="A8" s="71">
        <v>1987.0</v>
      </c>
      <c r="B8" s="71">
        <v>15.0</v>
      </c>
      <c r="C8" s="71">
        <v>0.1327</v>
      </c>
      <c r="D8" s="71">
        <v>0.3759</v>
      </c>
      <c r="E8" s="71">
        <v>0.8325</v>
      </c>
      <c r="F8" s="71">
        <v>0.8673</v>
      </c>
      <c r="G8" s="71">
        <v>0.6606</v>
      </c>
      <c r="H8" s="72">
        <v>0.8673</v>
      </c>
    </row>
    <row r="9">
      <c r="A9" s="71">
        <v>1988.0</v>
      </c>
      <c r="B9" s="71">
        <v>26.0</v>
      </c>
      <c r="C9" s="71">
        <v>0.1117</v>
      </c>
      <c r="D9" s="71">
        <v>0.37</v>
      </c>
      <c r="E9" s="71">
        <v>0.854</v>
      </c>
      <c r="F9" s="71">
        <v>0.8883</v>
      </c>
      <c r="G9" s="71">
        <v>0.6512</v>
      </c>
      <c r="H9" s="72">
        <v>0.8883</v>
      </c>
    </row>
    <row r="10">
      <c r="A10" s="71">
        <v>1989.0</v>
      </c>
      <c r="B10" s="71">
        <v>2.0</v>
      </c>
      <c r="C10" s="71">
        <v>0.1299</v>
      </c>
      <c r="D10" s="71">
        <v>0.3755</v>
      </c>
      <c r="E10" s="71">
        <v>0.8319</v>
      </c>
      <c r="F10" s="71">
        <v>0.8701</v>
      </c>
      <c r="G10" s="71">
        <v>0.6728</v>
      </c>
      <c r="H10" s="72">
        <v>0.8701</v>
      </c>
    </row>
    <row r="11">
      <c r="A11" s="71">
        <v>2000.0</v>
      </c>
      <c r="B11" s="71">
        <v>11.0</v>
      </c>
      <c r="C11" s="71">
        <v>0.0568</v>
      </c>
      <c r="D11" s="71">
        <v>0.2151</v>
      </c>
      <c r="E11" s="71">
        <v>0.9127</v>
      </c>
      <c r="F11" s="71">
        <v>0.9432</v>
      </c>
      <c r="G11" s="71">
        <v>0.8043</v>
      </c>
      <c r="H11" s="72">
        <v>0.9432</v>
      </c>
    </row>
    <row r="12">
      <c r="A12" s="71">
        <v>2001.0</v>
      </c>
      <c r="B12" s="71">
        <v>1.0</v>
      </c>
      <c r="C12" s="71">
        <v>0.0588</v>
      </c>
      <c r="D12" s="71">
        <v>0.2486</v>
      </c>
      <c r="E12" s="71">
        <v>0.8977</v>
      </c>
      <c r="F12" s="71">
        <v>0.9412</v>
      </c>
      <c r="G12" s="71">
        <v>0.832</v>
      </c>
      <c r="H12" s="72">
        <v>0.9412</v>
      </c>
    </row>
    <row r="13">
      <c r="A13" s="71">
        <v>2002.0</v>
      </c>
      <c r="B13" s="71">
        <v>4.0</v>
      </c>
      <c r="C13" s="71">
        <v>0.1079</v>
      </c>
      <c r="D13" s="71">
        <v>0.3457</v>
      </c>
      <c r="E13" s="71">
        <v>0.8661</v>
      </c>
      <c r="F13" s="71">
        <v>0.8921</v>
      </c>
      <c r="G13" s="71">
        <v>0.7478</v>
      </c>
      <c r="H13" s="72">
        <v>0.8921</v>
      </c>
    </row>
    <row r="14">
      <c r="A14" s="71">
        <v>2003.0</v>
      </c>
      <c r="B14" s="71">
        <v>3.0</v>
      </c>
      <c r="C14" s="71">
        <v>0.0692</v>
      </c>
      <c r="D14" s="71">
        <v>0.2495</v>
      </c>
      <c r="E14" s="71">
        <v>0.8994</v>
      </c>
      <c r="F14" s="71">
        <v>0.9308</v>
      </c>
      <c r="G14" s="71">
        <v>0.7951</v>
      </c>
      <c r="H14" s="72">
        <v>0.9308</v>
      </c>
    </row>
    <row r="15">
      <c r="A15" s="71">
        <v>2004.0</v>
      </c>
      <c r="B15" s="71">
        <v>5.0</v>
      </c>
      <c r="C15" s="71">
        <v>0.0762</v>
      </c>
      <c r="D15" s="71">
        <v>0.1813</v>
      </c>
      <c r="E15" s="71">
        <v>0.9208</v>
      </c>
      <c r="F15" s="71">
        <v>0.9238</v>
      </c>
      <c r="G15" s="71">
        <v>0.8635</v>
      </c>
      <c r="H15" s="72">
        <v>0.9238</v>
      </c>
    </row>
    <row r="16">
      <c r="A16" s="71">
        <v>2005.0</v>
      </c>
      <c r="B16" s="71">
        <v>2.0</v>
      </c>
      <c r="C16" s="71">
        <v>0.0816</v>
      </c>
      <c r="D16" s="71">
        <v>0.153</v>
      </c>
      <c r="E16" s="71">
        <v>0.9139</v>
      </c>
      <c r="F16" s="71">
        <v>0.9184</v>
      </c>
      <c r="G16" s="71">
        <v>0.8859</v>
      </c>
      <c r="H16" s="72">
        <v>0.9184</v>
      </c>
    </row>
    <row r="17">
      <c r="A17" s="71">
        <v>2006.0</v>
      </c>
      <c r="B17" s="71">
        <v>6.0</v>
      </c>
      <c r="C17" s="71">
        <v>0.0858</v>
      </c>
      <c r="D17" s="71">
        <v>0.2479</v>
      </c>
      <c r="E17" s="71">
        <v>0.8915</v>
      </c>
      <c r="F17" s="71">
        <v>0.9142</v>
      </c>
      <c r="G17" s="71">
        <v>0.7677</v>
      </c>
      <c r="H17" s="72">
        <v>0.9142</v>
      </c>
    </row>
    <row r="18">
      <c r="A18" s="71">
        <v>2007.0</v>
      </c>
      <c r="B18" s="71">
        <v>4.0</v>
      </c>
      <c r="C18" s="71">
        <v>0.0962</v>
      </c>
      <c r="D18" s="71">
        <v>0.2139</v>
      </c>
      <c r="E18" s="71">
        <v>0.894</v>
      </c>
      <c r="F18" s="71">
        <v>0.9038</v>
      </c>
      <c r="G18" s="71">
        <v>0.8422</v>
      </c>
      <c r="H18" s="72">
        <v>0.9038</v>
      </c>
    </row>
    <row r="19">
      <c r="A19" s="71">
        <v>2008.0</v>
      </c>
      <c r="B19" s="71">
        <v>10.0</v>
      </c>
      <c r="C19" s="71">
        <v>0.0865</v>
      </c>
      <c r="D19" s="71">
        <v>0.2467</v>
      </c>
      <c r="E19" s="71">
        <v>0.8953</v>
      </c>
      <c r="F19" s="71">
        <v>0.9135</v>
      </c>
      <c r="G19" s="71">
        <v>0.8156</v>
      </c>
      <c r="H19" s="72">
        <v>0.9135</v>
      </c>
    </row>
    <row r="20">
      <c r="A20" s="71">
        <v>2009.0</v>
      </c>
      <c r="B20" s="71">
        <v>8.0</v>
      </c>
      <c r="C20" s="71">
        <v>0.0425</v>
      </c>
      <c r="D20" s="71">
        <v>0.1552</v>
      </c>
      <c r="E20" s="71">
        <v>0.9393</v>
      </c>
      <c r="F20" s="71">
        <v>0.9575</v>
      </c>
      <c r="G20" s="71">
        <v>0.9003</v>
      </c>
      <c r="H20" s="72">
        <v>0.9575</v>
      </c>
    </row>
    <row r="21">
      <c r="A21" s="71">
        <v>2010.0</v>
      </c>
      <c r="B21" s="71">
        <v>11.0</v>
      </c>
      <c r="C21" s="71">
        <v>0.0583</v>
      </c>
      <c r="D21" s="71">
        <v>0.1543</v>
      </c>
      <c r="E21" s="71">
        <v>0.9205</v>
      </c>
      <c r="F21" s="71">
        <v>0.9417</v>
      </c>
      <c r="G21" s="71">
        <v>0.8782</v>
      </c>
      <c r="H21" s="72">
        <v>0.9417</v>
      </c>
    </row>
    <row r="22">
      <c r="A22" s="71">
        <v>2011.0</v>
      </c>
      <c r="B22" s="71">
        <v>22.0</v>
      </c>
      <c r="C22" s="71">
        <v>0.0504</v>
      </c>
      <c r="D22" s="71">
        <v>0.1724</v>
      </c>
      <c r="E22" s="71">
        <v>0.9356</v>
      </c>
      <c r="F22" s="71">
        <v>0.9496</v>
      </c>
      <c r="G22" s="71">
        <v>0.9022</v>
      </c>
      <c r="H22" s="72">
        <v>0.9496</v>
      </c>
    </row>
    <row r="23">
      <c r="A23" s="71">
        <v>2012.0</v>
      </c>
      <c r="B23" s="71">
        <v>3.0</v>
      </c>
      <c r="C23" s="71">
        <v>0.0454</v>
      </c>
      <c r="D23" s="71">
        <v>0.1656</v>
      </c>
      <c r="E23" s="71">
        <v>0.9424</v>
      </c>
      <c r="F23" s="71">
        <v>0.9546</v>
      </c>
      <c r="G23" s="71">
        <v>0.9232</v>
      </c>
      <c r="H23" s="72">
        <v>0.9546</v>
      </c>
    </row>
    <row r="24">
      <c r="A24" s="71">
        <v>2013.0</v>
      </c>
      <c r="B24" s="71">
        <v>2.0</v>
      </c>
      <c r="C24" s="71">
        <v>0.0696</v>
      </c>
      <c r="D24" s="71">
        <v>0.1799</v>
      </c>
      <c r="E24" s="71">
        <v>0.9253</v>
      </c>
      <c r="F24" s="71">
        <v>0.9304</v>
      </c>
      <c r="G24" s="71">
        <v>0.8508</v>
      </c>
      <c r="H24" s="72">
        <v>0.9304</v>
      </c>
    </row>
    <row r="25">
      <c r="A25" s="71">
        <v>2014.0</v>
      </c>
      <c r="B25" s="71">
        <v>2.0</v>
      </c>
      <c r="C25" s="71">
        <v>0.044</v>
      </c>
      <c r="D25" s="71">
        <v>0.1576</v>
      </c>
      <c r="E25" s="71">
        <v>0.9348</v>
      </c>
      <c r="F25" s="71">
        <v>0.956</v>
      </c>
      <c r="G25" s="71">
        <v>0.9016</v>
      </c>
      <c r="H25" s="72">
        <v>0.956</v>
      </c>
    </row>
    <row r="26">
      <c r="A26" s="71">
        <v>2015.0</v>
      </c>
      <c r="B26" s="71">
        <v>4.0</v>
      </c>
      <c r="C26" s="71">
        <v>0.0409</v>
      </c>
      <c r="D26" s="71">
        <v>0.1344</v>
      </c>
      <c r="E26" s="71">
        <v>0.9629</v>
      </c>
      <c r="F26" s="71">
        <v>0.9591</v>
      </c>
      <c r="G26" s="71">
        <v>0.8614</v>
      </c>
      <c r="H26" s="72">
        <v>0.9591</v>
      </c>
    </row>
    <row r="27">
      <c r="A27" s="71">
        <v>2016.0</v>
      </c>
      <c r="B27" s="71">
        <v>1.0</v>
      </c>
      <c r="C27" s="71">
        <v>0.0347</v>
      </c>
      <c r="D27" s="71">
        <v>0.1677</v>
      </c>
      <c r="E27" s="71">
        <v>0.942</v>
      </c>
      <c r="F27" s="71">
        <v>0.9653</v>
      </c>
      <c r="G27" s="71">
        <v>0.8999</v>
      </c>
      <c r="H27" s="72">
        <v>0.9653</v>
      </c>
    </row>
    <row r="28">
      <c r="A28" s="71">
        <v>2017.0</v>
      </c>
      <c r="B28" s="71">
        <v>5.0</v>
      </c>
      <c r="C28" s="71">
        <v>0.0482</v>
      </c>
      <c r="D28" s="71">
        <v>0.1702</v>
      </c>
      <c r="E28" s="71">
        <v>0.9265</v>
      </c>
      <c r="F28" s="71">
        <v>0.9518</v>
      </c>
      <c r="G28" s="71">
        <v>0.9181</v>
      </c>
      <c r="H28" s="72">
        <v>0.9518</v>
      </c>
    </row>
    <row r="29">
      <c r="A29" s="71">
        <v>2018.0</v>
      </c>
      <c r="B29" s="71">
        <v>8.0</v>
      </c>
      <c r="C29" s="71">
        <v>0.0541</v>
      </c>
      <c r="D29" s="71">
        <v>0.1718</v>
      </c>
      <c r="E29" s="71">
        <v>0.9258</v>
      </c>
      <c r="F29" s="71">
        <v>0.9459</v>
      </c>
      <c r="G29" s="71">
        <v>0.8791</v>
      </c>
      <c r="H29" s="72">
        <v>0.9459</v>
      </c>
    </row>
    <row r="30">
      <c r="A30" s="71">
        <v>2019.0</v>
      </c>
      <c r="B30" s="71">
        <v>8.0</v>
      </c>
      <c r="C30" s="71">
        <v>0.0515</v>
      </c>
      <c r="D30" s="71">
        <v>0.1913</v>
      </c>
      <c r="E30" s="71">
        <v>0.926</v>
      </c>
      <c r="F30" s="71">
        <v>0.9485</v>
      </c>
      <c r="G30" s="71">
        <v>0.9013</v>
      </c>
      <c r="H30" s="72">
        <v>0.9485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167</v>
      </c>
      <c r="D1" s="71" t="s">
        <v>168</v>
      </c>
      <c r="E1" s="71" t="s">
        <v>169</v>
      </c>
      <c r="F1" s="71" t="s">
        <v>170</v>
      </c>
      <c r="G1" s="71" t="s">
        <v>171</v>
      </c>
      <c r="H1" s="71" t="s">
        <v>172</v>
      </c>
    </row>
    <row r="2">
      <c r="A2" s="71">
        <v>1981.0</v>
      </c>
      <c r="B2" s="71">
        <v>25.0</v>
      </c>
      <c r="C2" s="71">
        <v>0.1732</v>
      </c>
      <c r="D2" s="71">
        <v>0.6864</v>
      </c>
      <c r="E2" s="71">
        <v>0.7118</v>
      </c>
      <c r="F2" s="71">
        <v>0.8405</v>
      </c>
      <c r="G2" s="71">
        <v>0.59</v>
      </c>
      <c r="H2" s="72">
        <v>0.8268</v>
      </c>
    </row>
    <row r="3">
      <c r="A3" s="71">
        <v>1982.0</v>
      </c>
      <c r="B3" s="71">
        <v>6.0</v>
      </c>
      <c r="C3" s="71">
        <v>0.1639</v>
      </c>
      <c r="D3" s="71">
        <v>0.6677</v>
      </c>
      <c r="E3" s="71">
        <v>0.722</v>
      </c>
      <c r="F3" s="71">
        <v>0.8471</v>
      </c>
      <c r="G3" s="71">
        <v>0.6061</v>
      </c>
      <c r="H3" s="72">
        <v>0.8361</v>
      </c>
    </row>
    <row r="4">
      <c r="A4" s="71">
        <v>1983.0</v>
      </c>
      <c r="B4" s="71">
        <v>2.0</v>
      </c>
      <c r="C4" s="71">
        <v>0.1906</v>
      </c>
      <c r="D4" s="71">
        <v>0.724</v>
      </c>
      <c r="E4" s="71">
        <v>0.6738</v>
      </c>
      <c r="F4" s="71">
        <v>0.825</v>
      </c>
      <c r="G4" s="71">
        <v>0.6056</v>
      </c>
      <c r="H4" s="72">
        <v>0.8094</v>
      </c>
    </row>
    <row r="5">
      <c r="A5" s="71">
        <v>1984.0</v>
      </c>
      <c r="B5" s="71">
        <v>4.0</v>
      </c>
      <c r="C5" s="71">
        <v>0.1682</v>
      </c>
      <c r="D5" s="71">
        <v>0.7127</v>
      </c>
      <c r="E5" s="71">
        <v>0.7083</v>
      </c>
      <c r="F5" s="71">
        <v>0.8451</v>
      </c>
      <c r="G5" s="71">
        <v>0.6103</v>
      </c>
      <c r="H5" s="72">
        <v>0.8318</v>
      </c>
    </row>
    <row r="6">
      <c r="A6" s="71">
        <v>1985.0</v>
      </c>
      <c r="B6" s="71">
        <v>1.0</v>
      </c>
      <c r="C6" s="71">
        <v>0.1558</v>
      </c>
      <c r="D6" s="71">
        <v>0.7216</v>
      </c>
      <c r="E6" s="71">
        <v>0.731</v>
      </c>
      <c r="F6" s="71">
        <v>0.8528</v>
      </c>
      <c r="G6" s="71">
        <v>0.5412</v>
      </c>
      <c r="H6" s="72">
        <v>0.8442</v>
      </c>
    </row>
    <row r="7">
      <c r="A7" s="71">
        <v>1986.0</v>
      </c>
      <c r="B7" s="71">
        <v>1.0</v>
      </c>
      <c r="C7" s="71">
        <v>0.2769</v>
      </c>
      <c r="D7" s="71">
        <v>0.9231</v>
      </c>
      <c r="E7" s="71">
        <v>0.6126</v>
      </c>
      <c r="F7" s="71">
        <v>0.7537</v>
      </c>
      <c r="G7" s="71">
        <v>0.537</v>
      </c>
      <c r="H7" s="72">
        <v>0.7231</v>
      </c>
    </row>
    <row r="8">
      <c r="A8" s="71">
        <v>1987.0</v>
      </c>
      <c r="B8" s="71">
        <v>15.0</v>
      </c>
      <c r="C8" s="71">
        <v>0.1928</v>
      </c>
      <c r="D8" s="71">
        <v>0.7067</v>
      </c>
      <c r="E8" s="71">
        <v>0.687</v>
      </c>
      <c r="F8" s="71">
        <v>0.822</v>
      </c>
      <c r="G8" s="71">
        <v>0.5917</v>
      </c>
      <c r="H8" s="72">
        <v>0.8072</v>
      </c>
    </row>
    <row r="9">
      <c r="A9" s="71">
        <v>1988.0</v>
      </c>
      <c r="B9" s="71">
        <v>26.0</v>
      </c>
      <c r="C9" s="71">
        <v>0.181</v>
      </c>
      <c r="D9" s="71">
        <v>0.6983</v>
      </c>
      <c r="E9" s="71">
        <v>0.6972</v>
      </c>
      <c r="F9" s="71">
        <v>0.832</v>
      </c>
      <c r="G9" s="71">
        <v>0.5869</v>
      </c>
      <c r="H9" s="72">
        <v>0.819</v>
      </c>
    </row>
    <row r="10">
      <c r="A10" s="71">
        <v>1989.0</v>
      </c>
      <c r="B10" s="71">
        <v>2.0</v>
      </c>
      <c r="C10" s="71">
        <v>0.2093</v>
      </c>
      <c r="D10" s="71">
        <v>0.7101</v>
      </c>
      <c r="E10" s="71">
        <v>0.6623</v>
      </c>
      <c r="F10" s="71">
        <v>0.8045</v>
      </c>
      <c r="G10" s="71">
        <v>0.5618</v>
      </c>
      <c r="H10" s="72">
        <v>0.7907</v>
      </c>
    </row>
    <row r="11">
      <c r="A11" s="71">
        <v>2000.0</v>
      </c>
      <c r="B11" s="71">
        <v>11.0</v>
      </c>
      <c r="C11" s="71">
        <v>0.0631</v>
      </c>
      <c r="D11" s="71">
        <v>0.3308</v>
      </c>
      <c r="E11" s="71">
        <v>0.8591</v>
      </c>
      <c r="F11" s="71">
        <v>0.9389</v>
      </c>
      <c r="G11" s="71">
        <v>0.8682</v>
      </c>
      <c r="H11" s="72">
        <v>0.9369</v>
      </c>
    </row>
    <row r="12">
      <c r="A12" s="71">
        <v>2001.0</v>
      </c>
      <c r="B12" s="71">
        <v>1.0</v>
      </c>
      <c r="C12" s="71">
        <v>0.0686</v>
      </c>
      <c r="D12" s="71">
        <v>0.3815</v>
      </c>
      <c r="E12" s="71">
        <v>0.8548</v>
      </c>
      <c r="F12" s="71">
        <v>0.9343</v>
      </c>
      <c r="G12" s="71">
        <v>0.8519</v>
      </c>
      <c r="H12" s="72">
        <v>0.9314</v>
      </c>
    </row>
    <row r="13">
      <c r="A13" s="71">
        <v>2002.0</v>
      </c>
      <c r="B13" s="71">
        <v>4.0</v>
      </c>
      <c r="C13" s="71">
        <v>0.0811</v>
      </c>
      <c r="D13" s="71">
        <v>0.4173</v>
      </c>
      <c r="E13" s="71">
        <v>0.8311</v>
      </c>
      <c r="F13" s="71">
        <v>0.9229</v>
      </c>
      <c r="G13" s="71">
        <v>0.8291</v>
      </c>
      <c r="H13" s="72">
        <v>0.9189</v>
      </c>
    </row>
    <row r="14">
      <c r="A14" s="71">
        <v>2003.0</v>
      </c>
      <c r="B14" s="71">
        <v>3.0</v>
      </c>
      <c r="C14" s="71">
        <v>0.4157</v>
      </c>
      <c r="D14" s="71">
        <v>0.6605</v>
      </c>
      <c r="E14" s="71">
        <v>0.4677</v>
      </c>
      <c r="F14" s="71">
        <v>0.2944</v>
      </c>
      <c r="G14" s="71">
        <v>0.3897</v>
      </c>
      <c r="H14" s="72">
        <v>0.5843</v>
      </c>
    </row>
    <row r="15">
      <c r="A15" s="71">
        <v>2004.0</v>
      </c>
      <c r="B15" s="71">
        <v>5.0</v>
      </c>
      <c r="C15" s="71">
        <v>0.0524</v>
      </c>
      <c r="D15" s="71">
        <v>0.3151</v>
      </c>
      <c r="E15" s="71">
        <v>0.8897</v>
      </c>
      <c r="F15" s="71">
        <v>0.9493</v>
      </c>
      <c r="G15" s="71">
        <v>0.9502</v>
      </c>
      <c r="H15" s="72">
        <v>0.9476</v>
      </c>
    </row>
    <row r="16">
      <c r="A16" s="71">
        <v>2005.0</v>
      </c>
      <c r="B16" s="71">
        <v>2.0</v>
      </c>
      <c r="C16" s="71">
        <v>0.0337</v>
      </c>
      <c r="D16" s="71">
        <v>0.2181</v>
      </c>
      <c r="E16" s="71">
        <v>0.9235</v>
      </c>
      <c r="F16" s="71">
        <v>0.9672</v>
      </c>
      <c r="G16" s="71">
        <v>0.9727</v>
      </c>
      <c r="H16" s="72">
        <v>0.9663</v>
      </c>
    </row>
    <row r="17">
      <c r="A17" s="71">
        <v>2006.0</v>
      </c>
      <c r="B17" s="71">
        <v>6.0</v>
      </c>
      <c r="C17" s="71">
        <v>0.0481</v>
      </c>
      <c r="D17" s="71">
        <v>0.3089</v>
      </c>
      <c r="E17" s="71">
        <v>0.8968</v>
      </c>
      <c r="F17" s="71">
        <v>0.953</v>
      </c>
      <c r="G17" s="71">
        <v>0.8801</v>
      </c>
      <c r="H17" s="72">
        <v>0.9519</v>
      </c>
    </row>
    <row r="18">
      <c r="A18" s="71">
        <v>2007.0</v>
      </c>
      <c r="B18" s="71">
        <v>4.0</v>
      </c>
      <c r="C18" s="71">
        <v>0.0514</v>
      </c>
      <c r="D18" s="71">
        <v>0.2804</v>
      </c>
      <c r="E18" s="71">
        <v>0.8929</v>
      </c>
      <c r="F18" s="71">
        <v>0.9502</v>
      </c>
      <c r="G18" s="71">
        <v>0.962</v>
      </c>
      <c r="H18" s="72">
        <v>0.9486</v>
      </c>
    </row>
    <row r="19">
      <c r="A19" s="71">
        <v>2008.0</v>
      </c>
      <c r="B19" s="71">
        <v>10.0</v>
      </c>
      <c r="C19" s="71">
        <v>0.0664</v>
      </c>
      <c r="D19" s="71">
        <v>0.3156</v>
      </c>
      <c r="E19" s="71">
        <v>0.8808</v>
      </c>
      <c r="F19" s="71">
        <v>0.9347</v>
      </c>
      <c r="G19" s="71">
        <v>0.8716</v>
      </c>
      <c r="H19" s="72">
        <v>0.9336</v>
      </c>
    </row>
    <row r="20">
      <c r="A20" s="71">
        <v>2009.0</v>
      </c>
      <c r="B20" s="71">
        <v>8.0</v>
      </c>
      <c r="C20" s="71">
        <v>0.0363</v>
      </c>
      <c r="D20" s="71">
        <v>0.2262</v>
      </c>
      <c r="E20" s="71">
        <v>0.9177</v>
      </c>
      <c r="F20" s="71">
        <v>0.9647</v>
      </c>
      <c r="G20" s="71">
        <v>0.9885</v>
      </c>
      <c r="H20" s="72">
        <v>0.9637</v>
      </c>
    </row>
    <row r="21">
      <c r="A21" s="71">
        <v>2010.0</v>
      </c>
      <c r="B21" s="71">
        <v>11.0</v>
      </c>
      <c r="C21" s="71">
        <v>0.0399</v>
      </c>
      <c r="D21" s="71">
        <v>0.2601</v>
      </c>
      <c r="E21" s="71">
        <v>0.9077</v>
      </c>
      <c r="F21" s="71">
        <v>0.9614</v>
      </c>
      <c r="G21" s="71">
        <v>0.982</v>
      </c>
      <c r="H21" s="72">
        <v>0.9601</v>
      </c>
    </row>
    <row r="22">
      <c r="A22" s="71">
        <v>2011.0</v>
      </c>
      <c r="B22" s="71">
        <v>22.0</v>
      </c>
      <c r="C22" s="71">
        <v>0.0428</v>
      </c>
      <c r="D22" s="71">
        <v>0.247</v>
      </c>
      <c r="E22" s="71">
        <v>0.9085</v>
      </c>
      <c r="F22" s="71">
        <v>0.9585</v>
      </c>
      <c r="G22" s="71">
        <v>0.9848</v>
      </c>
      <c r="H22" s="72">
        <v>0.9572</v>
      </c>
    </row>
    <row r="23">
      <c r="A23" s="71">
        <v>2012.0</v>
      </c>
      <c r="B23" s="71">
        <v>3.0</v>
      </c>
      <c r="C23" s="71">
        <v>0.0565</v>
      </c>
      <c r="D23" s="71">
        <v>0.3061</v>
      </c>
      <c r="E23" s="71">
        <v>0.8882</v>
      </c>
      <c r="F23" s="71">
        <v>0.9453</v>
      </c>
      <c r="G23" s="71">
        <v>0.9622</v>
      </c>
      <c r="H23" s="72">
        <v>0.9435</v>
      </c>
    </row>
    <row r="24">
      <c r="A24" s="71">
        <v>2013.0</v>
      </c>
      <c r="B24" s="71">
        <v>2.0</v>
      </c>
      <c r="C24" s="71">
        <v>0.0371</v>
      </c>
      <c r="D24" s="71">
        <v>0.1961</v>
      </c>
      <c r="E24" s="71">
        <v>0.9281</v>
      </c>
      <c r="F24" s="71">
        <v>0.9636</v>
      </c>
      <c r="G24" s="71">
        <v>0.9803</v>
      </c>
      <c r="H24" s="72">
        <v>0.9629</v>
      </c>
    </row>
    <row r="25">
      <c r="A25" s="71">
        <v>2014.0</v>
      </c>
      <c r="B25" s="71">
        <v>2.0</v>
      </c>
      <c r="C25" s="71">
        <v>0.0348</v>
      </c>
      <c r="D25" s="71">
        <v>0.2267</v>
      </c>
      <c r="E25" s="71">
        <v>0.9168</v>
      </c>
      <c r="F25" s="71">
        <v>0.9663</v>
      </c>
      <c r="G25" s="71">
        <v>0.9939</v>
      </c>
      <c r="H25" s="72">
        <v>0.9652</v>
      </c>
    </row>
    <row r="26">
      <c r="A26" s="71">
        <v>2015.0</v>
      </c>
      <c r="B26" s="71">
        <v>4.0</v>
      </c>
      <c r="C26" s="71">
        <v>0.0432</v>
      </c>
      <c r="D26" s="71">
        <v>0.2895</v>
      </c>
      <c r="E26" s="71">
        <v>0.9027</v>
      </c>
      <c r="F26" s="71">
        <v>0.9582</v>
      </c>
      <c r="G26" s="71">
        <v>0.9817</v>
      </c>
      <c r="H26" s="72">
        <v>0.9568</v>
      </c>
    </row>
    <row r="27">
      <c r="A27" s="71">
        <v>2016.0</v>
      </c>
      <c r="B27" s="71">
        <v>1.0</v>
      </c>
      <c r="C27" s="71">
        <v>0.0339</v>
      </c>
      <c r="D27" s="71">
        <v>0.2156</v>
      </c>
      <c r="E27" s="71">
        <v>0.9191</v>
      </c>
      <c r="F27" s="71">
        <v>0.9669</v>
      </c>
      <c r="G27" s="71">
        <v>0.9828</v>
      </c>
      <c r="H27" s="72">
        <v>0.9661</v>
      </c>
    </row>
    <row r="28">
      <c r="A28" s="71">
        <v>2017.0</v>
      </c>
      <c r="B28" s="71">
        <v>5.0</v>
      </c>
      <c r="C28" s="71">
        <v>0.0316</v>
      </c>
      <c r="D28" s="71">
        <v>0.2063</v>
      </c>
      <c r="E28" s="71">
        <v>0.9274</v>
      </c>
      <c r="F28" s="71">
        <v>0.9691</v>
      </c>
      <c r="G28" s="71">
        <v>0.9802</v>
      </c>
      <c r="H28" s="72">
        <v>0.9684</v>
      </c>
    </row>
    <row r="29">
      <c r="A29" s="71">
        <v>2018.0</v>
      </c>
      <c r="B29" s="71">
        <v>8.0</v>
      </c>
      <c r="C29" s="71">
        <v>0.0308</v>
      </c>
      <c r="D29" s="71">
        <v>0.1999</v>
      </c>
      <c r="E29" s="71">
        <v>0.9288</v>
      </c>
      <c r="F29" s="71">
        <v>0.97</v>
      </c>
      <c r="G29" s="71">
        <v>0.9851</v>
      </c>
      <c r="H29" s="72">
        <v>0.9692</v>
      </c>
    </row>
    <row r="30">
      <c r="A30" s="71">
        <v>2019.0</v>
      </c>
      <c r="B30" s="71">
        <v>8.0</v>
      </c>
      <c r="C30" s="71">
        <v>0.046</v>
      </c>
      <c r="D30" s="71">
        <v>0.2769</v>
      </c>
      <c r="E30" s="71">
        <v>0.9005</v>
      </c>
      <c r="F30" s="71">
        <v>0.9555</v>
      </c>
      <c r="G30" s="71">
        <v>0.9782</v>
      </c>
      <c r="H30" s="72">
        <v>0.954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165</v>
      </c>
      <c r="B1" s="71" t="s">
        <v>166</v>
      </c>
      <c r="C1" s="71" t="s">
        <v>167</v>
      </c>
      <c r="D1" s="71" t="s">
        <v>168</v>
      </c>
      <c r="E1" s="71" t="s">
        <v>169</v>
      </c>
      <c r="F1" s="71" t="s">
        <v>170</v>
      </c>
      <c r="G1" s="71" t="s">
        <v>171</v>
      </c>
      <c r="H1" s="71" t="s">
        <v>172</v>
      </c>
    </row>
    <row r="2">
      <c r="A2" s="71">
        <v>1981.0</v>
      </c>
      <c r="B2" s="71">
        <v>25.0</v>
      </c>
      <c r="C2" s="71">
        <v>0.1405</v>
      </c>
      <c r="D2" s="71">
        <v>0.6517</v>
      </c>
      <c r="E2" s="71">
        <v>0.7609</v>
      </c>
      <c r="F2" s="71">
        <v>0.8604</v>
      </c>
      <c r="G2" s="71">
        <v>0.5778</v>
      </c>
      <c r="H2" s="72">
        <v>0.8595</v>
      </c>
    </row>
    <row r="3">
      <c r="A3" s="71">
        <v>1982.0</v>
      </c>
      <c r="B3" s="71">
        <v>6.0</v>
      </c>
      <c r="C3" s="71">
        <v>0.1293</v>
      </c>
      <c r="D3" s="71">
        <v>0.6708</v>
      </c>
      <c r="E3" s="71">
        <v>0.7687</v>
      </c>
      <c r="F3" s="71">
        <v>0.8716</v>
      </c>
      <c r="G3" s="71">
        <v>0.5857</v>
      </c>
      <c r="H3" s="72">
        <v>0.8707</v>
      </c>
    </row>
    <row r="4">
      <c r="A4" s="71">
        <v>1983.0</v>
      </c>
      <c r="B4" s="71">
        <v>2.0</v>
      </c>
      <c r="C4" s="71">
        <v>0.1505</v>
      </c>
      <c r="D4" s="71">
        <v>0.6592</v>
      </c>
      <c r="E4" s="71">
        <v>0.7391</v>
      </c>
      <c r="F4" s="71">
        <v>0.85</v>
      </c>
      <c r="G4" s="71">
        <v>0.603</v>
      </c>
      <c r="H4" s="72">
        <v>0.8495</v>
      </c>
    </row>
    <row r="5">
      <c r="A5" s="71">
        <v>1984.0</v>
      </c>
      <c r="B5" s="71">
        <v>4.0</v>
      </c>
      <c r="C5" s="71">
        <v>0.1369</v>
      </c>
      <c r="D5" s="71">
        <v>0.7076</v>
      </c>
      <c r="E5" s="71">
        <v>0.7595</v>
      </c>
      <c r="F5" s="71">
        <v>0.8645</v>
      </c>
      <c r="G5" s="71">
        <v>0.5747</v>
      </c>
      <c r="H5" s="72">
        <v>0.8631</v>
      </c>
    </row>
    <row r="6">
      <c r="A6" s="71">
        <v>1985.0</v>
      </c>
      <c r="B6" s="71">
        <v>1.0</v>
      </c>
      <c r="C6" s="71">
        <v>0.1214</v>
      </c>
      <c r="D6" s="71">
        <v>0.6471</v>
      </c>
      <c r="E6" s="71">
        <v>0.7778</v>
      </c>
      <c r="F6" s="71">
        <v>0.8786</v>
      </c>
      <c r="G6" s="71">
        <v>0.5628</v>
      </c>
      <c r="H6" s="72">
        <v>0.8786</v>
      </c>
    </row>
    <row r="7">
      <c r="A7" s="71">
        <v>1986.0</v>
      </c>
      <c r="B7" s="71">
        <v>1.0</v>
      </c>
      <c r="C7" s="71">
        <v>0.2431</v>
      </c>
      <c r="D7" s="71">
        <v>0.8901</v>
      </c>
      <c r="E7" s="71">
        <v>0.6613</v>
      </c>
      <c r="F7" s="71">
        <v>0.7704</v>
      </c>
      <c r="G7" s="71">
        <v>0.5223</v>
      </c>
      <c r="H7" s="72">
        <v>0.7569</v>
      </c>
    </row>
    <row r="8">
      <c r="A8" s="71">
        <v>1987.0</v>
      </c>
      <c r="B8" s="71">
        <v>15.0</v>
      </c>
      <c r="C8" s="71">
        <v>0.1612</v>
      </c>
      <c r="D8" s="71">
        <v>0.6739</v>
      </c>
      <c r="E8" s="71">
        <v>0.7356</v>
      </c>
      <c r="F8" s="71">
        <v>0.8394</v>
      </c>
      <c r="G8" s="71">
        <v>0.5734</v>
      </c>
      <c r="H8" s="72">
        <v>0.8388</v>
      </c>
    </row>
    <row r="9">
      <c r="A9" s="71">
        <v>1988.0</v>
      </c>
      <c r="B9" s="71">
        <v>26.0</v>
      </c>
      <c r="C9" s="71">
        <v>0.1489</v>
      </c>
      <c r="D9" s="71">
        <v>0.676</v>
      </c>
      <c r="E9" s="71">
        <v>0.744</v>
      </c>
      <c r="F9" s="71">
        <v>0.8515</v>
      </c>
      <c r="G9" s="71">
        <v>0.5668</v>
      </c>
      <c r="H9" s="72">
        <v>0.8511</v>
      </c>
    </row>
    <row r="10">
      <c r="A10" s="71">
        <v>1989.0</v>
      </c>
      <c r="B10" s="71">
        <v>2.0</v>
      </c>
      <c r="C10" s="71">
        <v>0.1824</v>
      </c>
      <c r="D10" s="71">
        <v>0.7028</v>
      </c>
      <c r="E10" s="71">
        <v>0.7117</v>
      </c>
      <c r="F10" s="71">
        <v>0.8187</v>
      </c>
      <c r="G10" s="71">
        <v>0.5693</v>
      </c>
      <c r="H10" s="72">
        <v>0.8176</v>
      </c>
    </row>
    <row r="11">
      <c r="A11" s="71">
        <v>2000.0</v>
      </c>
      <c r="B11" s="71">
        <v>11.0</v>
      </c>
      <c r="C11" s="71">
        <v>0.0694</v>
      </c>
      <c r="D11" s="71">
        <v>0.4591</v>
      </c>
      <c r="E11" s="71">
        <v>0.8713</v>
      </c>
      <c r="F11" s="71">
        <v>0.9307</v>
      </c>
      <c r="G11" s="71">
        <v>0.7545</v>
      </c>
      <c r="H11" s="72">
        <v>0.9306</v>
      </c>
    </row>
    <row r="12">
      <c r="A12" s="71">
        <v>2001.0</v>
      </c>
      <c r="B12" s="71">
        <v>1.0</v>
      </c>
      <c r="C12" s="71">
        <v>0.0596</v>
      </c>
      <c r="D12" s="71">
        <v>0.5087</v>
      </c>
      <c r="E12" s="71">
        <v>0.8745</v>
      </c>
      <c r="F12" s="71">
        <v>0.9408</v>
      </c>
      <c r="G12" s="71">
        <v>0.7501</v>
      </c>
      <c r="H12" s="72">
        <v>0.9404</v>
      </c>
    </row>
    <row r="13">
      <c r="A13" s="71">
        <v>2002.0</v>
      </c>
      <c r="B13" s="71">
        <v>4.0</v>
      </c>
      <c r="C13" s="71">
        <v>0.0894</v>
      </c>
      <c r="D13" s="71">
        <v>0.571</v>
      </c>
      <c r="E13" s="71">
        <v>0.8411</v>
      </c>
      <c r="F13" s="71">
        <v>0.9109</v>
      </c>
      <c r="G13" s="71">
        <v>0.7291</v>
      </c>
      <c r="H13" s="72">
        <v>0.9106</v>
      </c>
    </row>
    <row r="14">
      <c r="A14" s="71">
        <v>2003.0</v>
      </c>
      <c r="B14" s="71">
        <v>3.0</v>
      </c>
      <c r="C14" s="71">
        <v>0.2882</v>
      </c>
      <c r="D14" s="71">
        <v>0.6829</v>
      </c>
      <c r="E14" s="71">
        <v>0.6615</v>
      </c>
      <c r="F14" s="71">
        <v>0.7119</v>
      </c>
      <c r="G14" s="71">
        <v>0.5441</v>
      </c>
      <c r="H14" s="72">
        <v>0.7118</v>
      </c>
    </row>
    <row r="15">
      <c r="A15" s="71">
        <v>2004.0</v>
      </c>
      <c r="B15" s="71">
        <v>5.0</v>
      </c>
      <c r="C15" s="71">
        <v>0.0615</v>
      </c>
      <c r="D15" s="71">
        <v>0.475</v>
      </c>
      <c r="E15" s="71">
        <v>0.8878</v>
      </c>
      <c r="F15" s="71">
        <v>0.9386</v>
      </c>
      <c r="G15" s="71">
        <v>0.902</v>
      </c>
      <c r="H15" s="72">
        <v>0.9385</v>
      </c>
    </row>
    <row r="16">
      <c r="A16" s="71">
        <v>2005.0</v>
      </c>
      <c r="B16" s="71">
        <v>2.0</v>
      </c>
      <c r="C16" s="71">
        <v>0.037</v>
      </c>
      <c r="D16" s="71">
        <v>0.3343</v>
      </c>
      <c r="E16" s="71">
        <v>0.9276</v>
      </c>
      <c r="F16" s="71">
        <v>0.9631</v>
      </c>
      <c r="G16" s="71">
        <v>0.9247</v>
      </c>
      <c r="H16" s="72">
        <v>0.963</v>
      </c>
    </row>
    <row r="17">
      <c r="A17" s="71">
        <v>2006.0</v>
      </c>
      <c r="B17" s="71">
        <v>6.0</v>
      </c>
      <c r="C17" s="71">
        <v>0.0855</v>
      </c>
      <c r="D17" s="71">
        <v>0.4152</v>
      </c>
      <c r="E17" s="71">
        <v>0.9107</v>
      </c>
      <c r="F17" s="71">
        <v>0.9145</v>
      </c>
      <c r="G17" s="71">
        <v>0.8369</v>
      </c>
      <c r="H17" s="72">
        <v>0.9145</v>
      </c>
    </row>
    <row r="18">
      <c r="A18" s="71">
        <v>2007.0</v>
      </c>
      <c r="B18" s="71">
        <v>4.0</v>
      </c>
      <c r="C18" s="71">
        <v>0.0653</v>
      </c>
      <c r="D18" s="71">
        <v>0.3978</v>
      </c>
      <c r="E18" s="71">
        <v>0.9005</v>
      </c>
      <c r="F18" s="71">
        <v>0.9348</v>
      </c>
      <c r="G18" s="71">
        <v>0.9086</v>
      </c>
      <c r="H18" s="72">
        <v>0.9347</v>
      </c>
    </row>
    <row r="19">
      <c r="A19" s="71">
        <v>2008.0</v>
      </c>
      <c r="B19" s="71">
        <v>10.0</v>
      </c>
      <c r="C19" s="71">
        <v>0.076</v>
      </c>
      <c r="D19" s="71">
        <v>0.4491</v>
      </c>
      <c r="E19" s="71">
        <v>0.8817</v>
      </c>
      <c r="F19" s="71">
        <v>0.9241</v>
      </c>
      <c r="G19" s="71">
        <v>0.7946</v>
      </c>
      <c r="H19" s="72">
        <v>0.924</v>
      </c>
    </row>
    <row r="20">
      <c r="A20" s="71">
        <v>2009.0</v>
      </c>
      <c r="B20" s="71">
        <v>8.0</v>
      </c>
      <c r="C20" s="71">
        <v>0.0496</v>
      </c>
      <c r="D20" s="71">
        <v>0.4172</v>
      </c>
      <c r="E20" s="71">
        <v>0.9121</v>
      </c>
      <c r="F20" s="71">
        <v>0.9504</v>
      </c>
      <c r="G20" s="71">
        <v>0.9269</v>
      </c>
      <c r="H20" s="72">
        <v>0.9504</v>
      </c>
    </row>
    <row r="21">
      <c r="A21" s="71">
        <v>2010.0</v>
      </c>
      <c r="B21" s="71">
        <v>11.0</v>
      </c>
      <c r="C21" s="71">
        <v>0.0378</v>
      </c>
      <c r="D21" s="71">
        <v>0.3402</v>
      </c>
      <c r="E21" s="71">
        <v>0.9269</v>
      </c>
      <c r="F21" s="71">
        <v>0.9622</v>
      </c>
      <c r="G21" s="71">
        <v>0.9118</v>
      </c>
      <c r="H21" s="72">
        <v>0.9622</v>
      </c>
    </row>
    <row r="22">
      <c r="A22" s="71">
        <v>2011.0</v>
      </c>
      <c r="B22" s="71">
        <v>22.0</v>
      </c>
      <c r="C22" s="71">
        <v>0.0694</v>
      </c>
      <c r="D22" s="71">
        <v>0.412</v>
      </c>
      <c r="E22" s="71">
        <v>0.9017</v>
      </c>
      <c r="F22" s="71">
        <v>0.9308</v>
      </c>
      <c r="G22" s="71">
        <v>0.9101</v>
      </c>
      <c r="H22" s="72">
        <v>0.9306</v>
      </c>
    </row>
    <row r="23">
      <c r="A23" s="71">
        <v>2012.0</v>
      </c>
      <c r="B23" s="71">
        <v>3.0</v>
      </c>
      <c r="C23" s="71">
        <v>0.0766</v>
      </c>
      <c r="D23" s="71">
        <v>0.4836</v>
      </c>
      <c r="E23" s="71">
        <v>0.8802</v>
      </c>
      <c r="F23" s="71">
        <v>0.9234</v>
      </c>
      <c r="G23" s="71">
        <v>0.8518</v>
      </c>
      <c r="H23" s="72">
        <v>0.9234</v>
      </c>
    </row>
    <row r="24">
      <c r="A24" s="71">
        <v>2013.0</v>
      </c>
      <c r="B24" s="71">
        <v>2.0</v>
      </c>
      <c r="C24" s="71">
        <v>0.0581</v>
      </c>
      <c r="D24" s="71">
        <v>0.4184</v>
      </c>
      <c r="E24" s="71">
        <v>0.9026</v>
      </c>
      <c r="F24" s="71">
        <v>0.9419</v>
      </c>
      <c r="G24" s="71">
        <v>0.9021</v>
      </c>
      <c r="H24" s="72">
        <v>0.9419</v>
      </c>
    </row>
    <row r="25">
      <c r="A25" s="71">
        <v>2014.0</v>
      </c>
      <c r="B25" s="71">
        <v>2.0</v>
      </c>
      <c r="C25" s="71">
        <v>0.0579</v>
      </c>
      <c r="D25" s="71">
        <v>0.4076</v>
      </c>
      <c r="E25" s="71">
        <v>0.9082</v>
      </c>
      <c r="F25" s="71">
        <v>0.9423</v>
      </c>
      <c r="G25" s="71">
        <v>0.9324</v>
      </c>
      <c r="H25" s="72">
        <v>0.9421</v>
      </c>
    </row>
    <row r="26">
      <c r="A26" s="71">
        <v>2015.0</v>
      </c>
      <c r="B26" s="71">
        <v>4.0</v>
      </c>
      <c r="C26" s="71">
        <v>0.0488</v>
      </c>
      <c r="D26" s="71">
        <v>0.389</v>
      </c>
      <c r="E26" s="71">
        <v>0.9182</v>
      </c>
      <c r="F26" s="71">
        <v>0.9513</v>
      </c>
      <c r="G26" s="71">
        <v>0.9368</v>
      </c>
      <c r="H26" s="72">
        <v>0.9512</v>
      </c>
    </row>
    <row r="27">
      <c r="A27" s="71">
        <v>2016.0</v>
      </c>
      <c r="B27" s="71">
        <v>1.0</v>
      </c>
      <c r="C27" s="71">
        <v>0.0421</v>
      </c>
      <c r="D27" s="71">
        <v>0.4491</v>
      </c>
      <c r="E27" s="71">
        <v>0.9083</v>
      </c>
      <c r="F27" s="71">
        <v>0.9579</v>
      </c>
      <c r="G27" s="71">
        <v>0.8858</v>
      </c>
      <c r="H27" s="72">
        <v>0.9579</v>
      </c>
    </row>
    <row r="28">
      <c r="A28" s="71">
        <v>2017.0</v>
      </c>
      <c r="B28" s="71">
        <v>5.0</v>
      </c>
      <c r="C28" s="71">
        <v>0.0401</v>
      </c>
      <c r="D28" s="71">
        <v>0.3865</v>
      </c>
      <c r="E28" s="71">
        <v>0.9191</v>
      </c>
      <c r="F28" s="71">
        <v>0.9599</v>
      </c>
      <c r="G28" s="71">
        <v>0.917</v>
      </c>
      <c r="H28" s="72">
        <v>0.9599</v>
      </c>
    </row>
    <row r="29">
      <c r="A29" s="71">
        <v>2018.0</v>
      </c>
      <c r="B29" s="71">
        <v>8.0</v>
      </c>
      <c r="C29" s="71">
        <v>0.0434</v>
      </c>
      <c r="D29" s="71">
        <v>0.3547</v>
      </c>
      <c r="E29" s="71">
        <v>0.9263</v>
      </c>
      <c r="F29" s="71">
        <v>0.9566</v>
      </c>
      <c r="G29" s="71">
        <v>0.9216</v>
      </c>
      <c r="H29" s="72">
        <v>0.9566</v>
      </c>
    </row>
    <row r="30">
      <c r="A30" s="71">
        <v>2019.0</v>
      </c>
      <c r="B30" s="71">
        <v>8.0</v>
      </c>
      <c r="C30" s="71">
        <v>0.0586</v>
      </c>
      <c r="D30" s="71">
        <v>0.4311</v>
      </c>
      <c r="E30" s="71">
        <v>0.9015</v>
      </c>
      <c r="F30" s="71">
        <v>0.9414</v>
      </c>
      <c r="G30" s="71">
        <v>0.912</v>
      </c>
      <c r="H30" s="72">
        <v>0.9414</v>
      </c>
    </row>
  </sheetData>
  <drawing r:id="rId1"/>
</worksheet>
</file>